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ilva\Desktop\"/>
    </mc:Choice>
  </mc:AlternateContent>
  <xr:revisionPtr revIDLastSave="0" documentId="8_{477A57C7-7D3B-4FA3-BE02-D1DD8D787A83}" xr6:coauthVersionLast="47" xr6:coauthVersionMax="47" xr10:uidLastSave="{00000000-0000-0000-0000-000000000000}"/>
  <bookViews>
    <workbookView xWindow="-120" yWindow="-120" windowWidth="29040" windowHeight="15720" xr2:uid="{DFACB5D0-7C15-4B21-8E04-EAC4B3AF12A1}"/>
  </bookViews>
  <sheets>
    <sheet name="ENCARTE RS - MAI.26" sheetId="2" r:id="rId1"/>
    <sheet name="ESBOÇO" sheetId="1" r:id="rId2"/>
  </sheets>
  <definedNames>
    <definedName name="_xlnm._FilterDatabase" localSheetId="0" hidden="1">'ENCARTE RS - MAI.26'!$A$313:$I$377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5" i="2" l="1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168" i="2"/>
  <c r="H167" i="2"/>
  <c r="H166" i="2"/>
  <c r="H165" i="2"/>
  <c r="H164" i="2"/>
</calcChain>
</file>

<file path=xl/sharedStrings.xml><?xml version="1.0" encoding="utf-8"?>
<sst xmlns="http://schemas.openxmlformats.org/spreadsheetml/2006/main" count="1114" uniqueCount="457">
  <si>
    <t>PAGINA 1</t>
  </si>
  <si>
    <t>PAGINA 2</t>
  </si>
  <si>
    <t>PAGINA 3</t>
  </si>
  <si>
    <t>PAGINA 4</t>
  </si>
  <si>
    <t>CAPA</t>
  </si>
  <si>
    <t>PAGINA 5</t>
  </si>
  <si>
    <t>PAGINA 6</t>
  </si>
  <si>
    <t>PAGINA 7</t>
  </si>
  <si>
    <t>PAGINA 8</t>
  </si>
  <si>
    <t>PAGINA 9</t>
  </si>
  <si>
    <t>PAGINA 10</t>
  </si>
  <si>
    <t>PAGINA 11</t>
  </si>
  <si>
    <t>PAGINA 12</t>
  </si>
  <si>
    <t>SC JOHNSON</t>
  </si>
  <si>
    <t>HIGIENE E BELEZA</t>
  </si>
  <si>
    <t>ESPAÇO</t>
  </si>
  <si>
    <t>Fabricante</t>
  </si>
  <si>
    <t>EAN</t>
  </si>
  <si>
    <t>Descrição</t>
  </si>
  <si>
    <t>Venda Encarte</t>
  </si>
  <si>
    <t>MEDICAMENTOS</t>
  </si>
  <si>
    <t>Preço Encarte
(POR)</t>
  </si>
  <si>
    <t>RECKITT</t>
  </si>
  <si>
    <t>ENCARTE MAIO/2026 - LISTA ITENS RS</t>
  </si>
  <si>
    <t>COLGATE</t>
  </si>
  <si>
    <t>KIMBERLY</t>
  </si>
  <si>
    <t>MILI</t>
  </si>
  <si>
    <t>NIVEA</t>
  </si>
  <si>
    <t>P&amp;G</t>
  </si>
  <si>
    <t>UNILEVER</t>
  </si>
  <si>
    <t>GEOLAB</t>
  </si>
  <si>
    <t>CIMED</t>
  </si>
  <si>
    <t>ABOVE</t>
  </si>
  <si>
    <t>DANA</t>
  </si>
  <si>
    <t>LAB. SAÚDE</t>
  </si>
  <si>
    <t>MEDLEY</t>
  </si>
  <si>
    <t>OPELLA</t>
  </si>
  <si>
    <t>BIOLAB</t>
  </si>
  <si>
    <t>LISTA</t>
  </si>
  <si>
    <t>CERVOSUL - KUKA</t>
  </si>
  <si>
    <t>GALENA</t>
  </si>
  <si>
    <t>EMBELLEZE</t>
  </si>
  <si>
    <t>CLESS - KIT CHARMING</t>
  </si>
  <si>
    <t>FLORA</t>
  </si>
  <si>
    <t>COTY - BOZZANO</t>
  </si>
  <si>
    <t>COTY - MONANGE / PAIXÃO / RISQUE</t>
  </si>
  <si>
    <t>PRADO</t>
  </si>
  <si>
    <t>BIOSINTÉTICA</t>
  </si>
  <si>
    <t>ABS INTIMUS NOTURNO 30 UNDS</t>
  </si>
  <si>
    <t>Defb 1000mcg 30 Comprimidos</t>
  </si>
  <si>
    <t>Pitavastatina Cálcica 2mg 30 Comprimidos</t>
  </si>
  <si>
    <t>Pitavastatina Cálcica 4mg 30 Comprimidos</t>
  </si>
  <si>
    <t>Cloridrato De Ondansetrona 4Mg 10 Cápsulas</t>
  </si>
  <si>
    <t>Cloridrato De Ondansetrona 4Mg 30 Cápsulas</t>
  </si>
  <si>
    <t>Cloridrato De Ondansetrona 8Mg 10 Cápsulas</t>
  </si>
  <si>
    <t>Cloridrato De Ondansetrona 8Mg 30 Cápsulas</t>
  </si>
  <si>
    <t>Cloridrato De Ondansetrona Menta 4Mg 10 Cápsulas</t>
  </si>
  <si>
    <t>Cloridrato De Ondansetrona Menta 8Mg 10 Cápsulas</t>
  </si>
  <si>
    <t>Smurfs Vitamina Infantil 120ml Solução Oral</t>
  </si>
  <si>
    <t>Smurfs Vitamina Infantil C+Z 30 Gomas</t>
  </si>
  <si>
    <t>BIOLAB GEN</t>
  </si>
  <si>
    <t>RODAPÉ</t>
  </si>
  <si>
    <t>AVULSO</t>
  </si>
  <si>
    <t>CLESS</t>
  </si>
  <si>
    <t>Pack Charming Hair Spray Extra Forte Black 400ml + Spray Fixador de Maquiagem 150ml</t>
  </si>
  <si>
    <t>MP - CR HIDRATANTE REVITART PESSEGO 200G</t>
  </si>
  <si>
    <t>Creme Dental Elmex Sensitive Professional 75g</t>
  </si>
  <si>
    <t>Escova Dental Colgate Slim Soft Gold Macia 2Und</t>
  </si>
  <si>
    <t>Creme Dental Colgate Luminous White Color Correct 70g</t>
  </si>
  <si>
    <t>MEIA PÁGINA</t>
  </si>
  <si>
    <t>MP - REVITART PÊSSEGO</t>
  </si>
  <si>
    <t>EMS - OTC</t>
  </si>
  <si>
    <t>MP - REVIMEL</t>
  </si>
  <si>
    <t>MP - PROTETOR SOLAR FACIAL REVITART FPS70</t>
  </si>
  <si>
    <t>Revimel Composto Mel + Extrato de Propolis 180g</t>
  </si>
  <si>
    <t>Revimel Extrato Aquoso de Propolis 30ml</t>
  </si>
  <si>
    <t>Revimel Composto Mel + Extrato de Propolis Spray 30ml</t>
  </si>
  <si>
    <t>Creme Para Mãos Revitart Pêssego 60g</t>
  </si>
  <si>
    <t>Creme Hidratante Corporal Revitart Pêssego 200g</t>
  </si>
  <si>
    <t>Sabonete Líquido Para Mãos Revitart Pêssego 245ml</t>
  </si>
  <si>
    <t>Protetor Facial Revitart Solar FPS70 60g</t>
  </si>
  <si>
    <t>APIÁRIOS</t>
  </si>
  <si>
    <t>INST. PASTEUR</t>
  </si>
  <si>
    <t>RODAPÉ / CAPA</t>
  </si>
  <si>
    <t>COTY</t>
  </si>
  <si>
    <t>Tintura Natucor 1.0 Chá Preto</t>
  </si>
  <si>
    <t>Tintura Natucor 1.00 Uva Preta</t>
  </si>
  <si>
    <t>Tintura Natucor 1.7 Jamelão</t>
  </si>
  <si>
    <t>Tintura Natucor 2.0 Preto Suave Amora</t>
  </si>
  <si>
    <t>Tintura Natucor 2.1 Mirtilo Preto</t>
  </si>
  <si>
    <t>Tintura Natucor 3.0 Cacau</t>
  </si>
  <si>
    <t>Tintura Natucor 4.0 Avela Castanho Médio</t>
  </si>
  <si>
    <t>Tintura Natucor 5.0 Castanha Para</t>
  </si>
  <si>
    <t>Tintura Natucor 5.64 Hibisco</t>
  </si>
  <si>
    <t>Tintura Natucor 6.7 Chocolate</t>
  </si>
  <si>
    <t>FLORA / PHYTODERM</t>
  </si>
  <si>
    <t>Absorvente Intimus Toda Protegida Noturno Suave C/Abas 30 Unds</t>
  </si>
  <si>
    <t>Absorvente Intimus Toda Protegida Noturno Seca C/Abas 30 Unds</t>
  </si>
  <si>
    <t>Absorvente Intimus Noturno Longo C/Abas 10 Unds</t>
  </si>
  <si>
    <t>Absorvente Intimus Toda Renovada Dia Suave C/Abas 28 Unds</t>
  </si>
  <si>
    <t>Roupa Intima Plenitud Noturna 14 Unds G/XG</t>
  </si>
  <si>
    <t>Roupa Intima Plenitud Noturna 14 Unds P/M</t>
  </si>
  <si>
    <t>Roupa Intima Plenitud Femme 16 Unds P/M</t>
  </si>
  <si>
    <t>Roupa Intima Plenitud Femme 16 Unds G/XG</t>
  </si>
  <si>
    <t>Fralda Huggies Tripla Proteção Meguinha P38 Unds</t>
  </si>
  <si>
    <t>Fralda Huggies Tripla Proteção Meguinha M36 Unds</t>
  </si>
  <si>
    <t>Fralda Huggies Tripla Proteção Meguinha G30 Unds</t>
  </si>
  <si>
    <t>Fralda Huggies Tripla Proteção Meguinha XG28 Unds</t>
  </si>
  <si>
    <t>Fralda Huggies Tripla Proteção Meguinha XXG26 Unds</t>
  </si>
  <si>
    <t>Toalha Umedecida Huggies Higiene Diária 120 Ubds</t>
  </si>
  <si>
    <t>PÁGINA</t>
  </si>
  <si>
    <t>Pantoprazol 40mg 28 Comprimidos</t>
  </si>
  <si>
    <t>Budesonida 32mcg Suspensão Nasal 120 doses</t>
  </si>
  <si>
    <t>Bronfeniramina 0,4mg/ml + Fenelefrina 1mg/ml Xarope 120ml</t>
  </si>
  <si>
    <t>Bronfeniramina 2mg/ml + Fenelefrina 2,5mg/ml Gotas 20ml</t>
  </si>
  <si>
    <t>Bronfeniramina 12mg + Fenelefrina 15mg 12 Comprimidos</t>
  </si>
  <si>
    <t>EMS</t>
  </si>
  <si>
    <t>Dipirona Monoidratada 500mg 30 Comprimidos</t>
  </si>
  <si>
    <t>Dipirona Monoidratada 500mg/ml Gotas 20ml</t>
  </si>
  <si>
    <t>Dipirona Monoidratada 1g 10 Comprimidos</t>
  </si>
  <si>
    <t>Albendazol 400mg 3 Comprimidos Mastigáveis</t>
  </si>
  <si>
    <t>Hemifumarato de Bisoprolol 2,5mg 30 Comprimidos Revestidos</t>
  </si>
  <si>
    <t>Hemifumarato de Bisoprolol 5mg 30 Comprimidos Revestidos</t>
  </si>
  <si>
    <t>Cimegripe 20 Cápsula</t>
  </si>
  <si>
    <t>Cimegripe Sol Oral Gotas 20ml</t>
  </si>
  <si>
    <t>Fexx 120Mmg 10 Comprimidos Revestidos</t>
  </si>
  <si>
    <t>Fexx 180Mmg 10 Comprimidos Revestidos</t>
  </si>
  <si>
    <t>Loratamed 10mg 12 Comprimidos</t>
  </si>
  <si>
    <t>Loratamed 1mg/ml Xarope 100ml</t>
  </si>
  <si>
    <t>DANA COSMÉTICOS</t>
  </si>
  <si>
    <t>GALENA SEMIJOIAS</t>
  </si>
  <si>
    <t>Corrente Com Pingente Galena</t>
  </si>
  <si>
    <t>Brincos Galena</t>
  </si>
  <si>
    <t>Nufig Met 127,27mg+100mg 30 Comprimidos Revestidos</t>
  </si>
  <si>
    <t>Aspirador Nasal Com Estojo Kuka</t>
  </si>
  <si>
    <t>Prendedor Chupeta Kuka Fita Tecido Com Cordão</t>
  </si>
  <si>
    <t>Prendedor Chupeta Kuka Fita Tecido Com Velcro</t>
  </si>
  <si>
    <t>Termometro Para Banheira Kuka Tartaruga</t>
  </si>
  <si>
    <t>KUKA</t>
  </si>
  <si>
    <t>LAB SAÚDE</t>
  </si>
  <si>
    <t>Creo Cálcio Jobim 150ml</t>
  </si>
  <si>
    <t>Calmador Babycolic Solução Oral Gotas 30ml</t>
  </si>
  <si>
    <t>Calmador 4 Comprimidos</t>
  </si>
  <si>
    <t>Protetor Diário Mili 80 Unids</t>
  </si>
  <si>
    <t>Absorvente Mili Mulher Conforto Total C/Abas 32 Unds</t>
  </si>
  <si>
    <t>Absorvente para Seios Mili Love&amp;Care 32 Unds</t>
  </si>
  <si>
    <t>Fralda Mili Baby Giga M80</t>
  </si>
  <si>
    <t>Fralda Mili Baby Giga G72</t>
  </si>
  <si>
    <t>Fralda Mili Baby Giga XG62</t>
  </si>
  <si>
    <t>Fralda Mili Baby Giga XXG52</t>
  </si>
  <si>
    <t>Dorflex 36 Comprimidos</t>
  </si>
  <si>
    <t>Dorflex Max 8 Comprimidos</t>
  </si>
  <si>
    <t>Novalgina Flash 8 Comprimidos</t>
  </si>
  <si>
    <t>Novalgina Flash 16 Comprimidos</t>
  </si>
  <si>
    <t>Allegra 60mg 10 Comprimidos</t>
  </si>
  <si>
    <t>Allegra 120mg 10 Comprimidos</t>
  </si>
  <si>
    <t>Allegra 180mg 10 Comprimidos</t>
  </si>
  <si>
    <t>SOFTYS</t>
  </si>
  <si>
    <t>Fralda Babysec Ultra Sec Hiper Bag P72</t>
  </si>
  <si>
    <t>Fralda Babysec Ultra Sec Hiper Bag M68</t>
  </si>
  <si>
    <t>Fralda Babysec Ultra Sec Hiper Bag G60</t>
  </si>
  <si>
    <t>Fralda Babysec Ultra Sec Hiper Bag XG56</t>
  </si>
  <si>
    <t>Fralda Babysec Ultra Sec Hiper Bag XXG48</t>
  </si>
  <si>
    <t>Fralda Babysec Ultra Sec Hiper Bag XXXG42</t>
  </si>
  <si>
    <t>Fralda Babysec Ultra Sec Mega P42</t>
  </si>
  <si>
    <t>Fralda Babysec Ultra Sec Mega M38</t>
  </si>
  <si>
    <t>Fralda Babysec Ultra Sec Mega G32</t>
  </si>
  <si>
    <t xml:space="preserve">Fralda Babysec Ultra Sec Mega XG30 </t>
  </si>
  <si>
    <t>Fralda Babysec Ultra Sec Mega XXG28</t>
  </si>
  <si>
    <t>Fralda Babysec Ultra Sec Mega XXXG24</t>
  </si>
  <si>
    <t>Fralda Babysec Premium Mega P34</t>
  </si>
  <si>
    <t>Fralda Babysec Premium Mega M32</t>
  </si>
  <si>
    <t>Fralda Babysec Premium Mega G26</t>
  </si>
  <si>
    <t>Fralda Babysec Premium Mega XG24</t>
  </si>
  <si>
    <t>Fralda Babysec Premium Mega XXG24</t>
  </si>
  <si>
    <t xml:space="preserve">Toalhas Umedecidas Babysec Ultra Fresh L4P3 192 Unds </t>
  </si>
  <si>
    <t>Naldecon Pack Dia e Noite 24 Comprimidos</t>
  </si>
  <si>
    <t>Naldecon Multi 16 Comprimidos</t>
  </si>
  <si>
    <t>Repelente Exposis Bebe Gel 117g</t>
  </si>
  <si>
    <t>Repelente Exposis Infantil Gel 100ml</t>
  </si>
  <si>
    <t>Repelente Off Family Loção 200ml</t>
  </si>
  <si>
    <t>Repelente Off Family Spray 170ml</t>
  </si>
  <si>
    <t>Oxalato do Escitalopram 10mg 30 Comprimidos</t>
  </si>
  <si>
    <t>Ambroxmel 3mg/ml Xarope Infantil 120ml</t>
  </si>
  <si>
    <t>Ambroxmel 6mg/ml Xarope Adulto 120ml</t>
  </si>
  <si>
    <t>Cimegripe C + Zinco 10 Comprimidos Efervescentes</t>
  </si>
  <si>
    <t>EMS GEN</t>
  </si>
  <si>
    <t>Bilastina 20mg 15 Comprimidos</t>
  </si>
  <si>
    <t>Amoxicilina Pó Suspensão Oral 400mg/5ml 100ml + Seringa Dosadora</t>
  </si>
  <si>
    <t>Acetilcisteína Granulado 600mg  Envelope 16x5g</t>
  </si>
  <si>
    <t>Desloratadina Xarope 0,5mg/ml 60ml</t>
  </si>
  <si>
    <t>Cloridrato De Fexofenadina 6mg/ml 150ml</t>
  </si>
  <si>
    <t>Cloridrato De Fexofenadina 6mg/ml 60ml</t>
  </si>
  <si>
    <t>Fendizoato De Cloperastina 3,54mg/ml Xarope 120ml</t>
  </si>
  <si>
    <t>TEXTO MEDICAMENTOS</t>
  </si>
  <si>
    <r>
      <rPr>
        <b/>
        <sz val="9"/>
        <color rgb="FF000000"/>
        <rFont val="Calibri"/>
        <family val="2"/>
      </rPr>
      <t>PANTOPRAZOL 40mg</t>
    </r>
    <r>
      <rPr>
        <sz val="9"/>
        <color rgb="FF000000"/>
        <rFont val="Calibri"/>
        <family val="2"/>
      </rPr>
      <t xml:space="preserve">: 28 Comprimidos | </t>
    </r>
    <r>
      <rPr>
        <b/>
        <sz val="9"/>
        <color rgb="FF000000"/>
        <rFont val="Calibri"/>
        <family val="2"/>
      </rPr>
      <t>BIOSINTÉTICA</t>
    </r>
    <r>
      <rPr>
        <sz val="9"/>
        <color rgb="FF000000"/>
        <rFont val="Calibri"/>
        <family val="2"/>
      </rPr>
      <t xml:space="preserve"> | M.S: 1832601870071 - Venda sob prescrição médica. Medicamento genérico - Lei 9.787/99. </t>
    </r>
  </si>
  <si>
    <r>
      <rPr>
        <b/>
        <sz val="9"/>
        <color rgb="FF000000"/>
        <rFont val="Calibri"/>
        <family val="2"/>
      </rPr>
      <t>ALBENDAZOL 400mg</t>
    </r>
    <r>
      <rPr>
        <sz val="9"/>
        <color rgb="FF000000"/>
        <rFont val="Calibri"/>
        <family val="2"/>
      </rPr>
      <t xml:space="preserve">: 3 comprimidos | </t>
    </r>
    <r>
      <rPr>
        <b/>
        <sz val="9"/>
        <color rgb="FF000000"/>
        <rFont val="Calibri"/>
        <family val="2"/>
      </rPr>
      <t>MEDLEY</t>
    </r>
    <r>
      <rPr>
        <sz val="9"/>
        <color rgb="FF000000"/>
        <rFont val="Calibri"/>
        <family val="2"/>
      </rPr>
      <t xml:space="preserve"> | M.S: 1832601930041 - Venda sob prescrição médica. Medicamento genérico - Lei 9.787/99. </t>
    </r>
  </si>
  <si>
    <r>
      <rPr>
        <b/>
        <sz val="9"/>
        <color theme="1"/>
        <rFont val="Calibri"/>
        <family val="2"/>
      </rPr>
      <t>HEMIFUMARATO DE BISOPROLOL 2,5mg</t>
    </r>
    <r>
      <rPr>
        <sz val="9"/>
        <color theme="1"/>
        <rFont val="Calibri"/>
        <family val="2"/>
      </rPr>
      <t xml:space="preserve">: 30 Comprimidos | </t>
    </r>
    <r>
      <rPr>
        <b/>
        <sz val="9"/>
        <color theme="1"/>
        <rFont val="Calibri"/>
        <family val="2"/>
      </rPr>
      <t>MEDLEY</t>
    </r>
    <r>
      <rPr>
        <sz val="9"/>
        <color theme="1"/>
        <rFont val="Calibri"/>
        <family val="2"/>
      </rPr>
      <t xml:space="preserve"> | M.S: 1832603050063 - Venda sob prescrição médica. Medicamento genérico - Lei 9.787/99. </t>
    </r>
  </si>
  <si>
    <r>
      <rPr>
        <b/>
        <sz val="9"/>
        <color theme="1"/>
        <rFont val="Calibri"/>
        <family val="2"/>
      </rPr>
      <t>HEMIFUMARATO DE BISOPROLOL 5mg</t>
    </r>
    <r>
      <rPr>
        <sz val="9"/>
        <color theme="1"/>
        <rFont val="Calibri"/>
        <family val="2"/>
      </rPr>
      <t xml:space="preserve">: 30 Comprimidos | </t>
    </r>
    <r>
      <rPr>
        <b/>
        <sz val="9"/>
        <color theme="1"/>
        <rFont val="Calibri"/>
        <family val="2"/>
      </rPr>
      <t>MEDLEY</t>
    </r>
    <r>
      <rPr>
        <sz val="9"/>
        <color theme="1"/>
        <rFont val="Calibri"/>
        <family val="2"/>
      </rPr>
      <t xml:space="preserve"> | M.S: 1832603050098 - Venda sob prescrição médica. Medicamento genérico - Lei 9.787/99. </t>
    </r>
  </si>
  <si>
    <r>
      <rPr>
        <b/>
        <sz val="9"/>
        <color rgb="FF000000"/>
        <rFont val="Calibri"/>
        <family val="2"/>
      </rPr>
      <t>BUDESONIDA 32mcg</t>
    </r>
    <r>
      <rPr>
        <sz val="9"/>
        <color rgb="FF000000"/>
        <rFont val="Calibri"/>
        <family val="2"/>
      </rPr>
      <t xml:space="preserve">: Susp.Nasal 120 Doses | </t>
    </r>
    <r>
      <rPr>
        <b/>
        <sz val="9"/>
        <color rgb="FF000000"/>
        <rFont val="Calibri"/>
        <family val="2"/>
      </rPr>
      <t>BIOSINTÉTICA</t>
    </r>
    <r>
      <rPr>
        <sz val="9"/>
        <color rgb="FF000000"/>
        <rFont val="Calibri"/>
        <family val="2"/>
      </rPr>
      <t xml:space="preserve"> | M.S: 1057300920023 - Venda sob prescrição médica. Medicamento genérico - Lei 9.787/99. </t>
    </r>
  </si>
  <si>
    <r>
      <rPr>
        <b/>
        <sz val="9"/>
        <color rgb="FF000000"/>
        <rFont val="Calibri"/>
        <family val="2"/>
      </rPr>
      <t>OXALATO DE ESCITALOPRAN 10mg</t>
    </r>
    <r>
      <rPr>
        <sz val="9"/>
        <color rgb="FF000000"/>
        <rFont val="Calibri"/>
        <family val="2"/>
      </rPr>
      <t xml:space="preserve">: 30 Comprimidos | </t>
    </r>
    <r>
      <rPr>
        <b/>
        <sz val="9"/>
        <color rgb="FF000000"/>
        <rFont val="Calibri"/>
        <family val="2"/>
      </rPr>
      <t>BIOSINTÉTICA</t>
    </r>
    <r>
      <rPr>
        <sz val="9"/>
        <color rgb="FF000000"/>
        <rFont val="Calibri"/>
        <family val="2"/>
      </rPr>
      <t xml:space="preserve"> | M.S: 1057303800061 - Venda sob prescrição médica. Medicamento genérico - Lei 9.787/99. </t>
    </r>
  </si>
  <si>
    <r>
      <rPr>
        <b/>
        <sz val="9"/>
        <color rgb="FF000000"/>
        <rFont val="Calibri"/>
        <family val="2"/>
      </rPr>
      <t>BILASTINA 20mg</t>
    </r>
    <r>
      <rPr>
        <sz val="9"/>
        <color rgb="FF000000"/>
        <rFont val="Calibri"/>
        <family val="2"/>
      </rPr>
      <t xml:space="preserve">: 15 Comprimidos | </t>
    </r>
    <r>
      <rPr>
        <b/>
        <sz val="9"/>
        <color rgb="FF000000"/>
        <rFont val="Calibri"/>
        <family val="2"/>
      </rPr>
      <t>EMS</t>
    </r>
    <r>
      <rPr>
        <sz val="9"/>
        <color rgb="FF000000"/>
        <rFont val="Calibri"/>
        <family val="2"/>
      </rPr>
      <t xml:space="preserve"> | M.S: 1023512620029 - Venda sob prescrição médica. Medicamento genérico - Lei 9.787/99. </t>
    </r>
  </si>
  <si>
    <r>
      <rPr>
        <b/>
        <sz val="9"/>
        <color rgb="FF000000"/>
        <rFont val="Calibri"/>
        <family val="2"/>
      </rPr>
      <t>AMOXICILINA 400mg/5ml</t>
    </r>
    <r>
      <rPr>
        <sz val="9"/>
        <color rgb="FF000000"/>
        <rFont val="Calibri"/>
        <family val="2"/>
      </rPr>
      <t xml:space="preserve">: Susp. Oral 100ml | </t>
    </r>
    <r>
      <rPr>
        <b/>
        <sz val="9"/>
        <color rgb="FF000000"/>
        <rFont val="Calibri"/>
        <family val="2"/>
      </rPr>
      <t>EMS</t>
    </r>
    <r>
      <rPr>
        <sz val="9"/>
        <color rgb="FF000000"/>
        <rFont val="Calibri"/>
        <family val="2"/>
      </rPr>
      <t xml:space="preserve"> | M.S: 1023506080042 - Venda sob prescrição médica. Medicamento genérico - Lei 9.787/99. </t>
    </r>
  </si>
  <si>
    <t xml:space="preserve">Desodorante Aerossol Above Extreme 200ml </t>
  </si>
  <si>
    <t xml:space="preserve"> Black 72h</t>
  </si>
  <si>
    <t xml:space="preserve"> Invisible 72h</t>
  </si>
  <si>
    <t xml:space="preserve"> Movement 72h</t>
  </si>
  <si>
    <t xml:space="preserve"> Sport 72h</t>
  </si>
  <si>
    <t xml:space="preserve">Desodorante Rollon Above Women 50ml </t>
  </si>
  <si>
    <t xml:space="preserve"> Candy </t>
  </si>
  <si>
    <t xml:space="preserve"> Cream Original</t>
  </si>
  <si>
    <t xml:space="preserve"> Dermaclinical </t>
  </si>
  <si>
    <t xml:space="preserve"> Fierce &amp; Savage </t>
  </si>
  <si>
    <t xml:space="preserve"> Peaceful &amp; Fashion</t>
  </si>
  <si>
    <t xml:space="preserve"> Sport Energy </t>
  </si>
  <si>
    <t xml:space="preserve">Desodorante Rollon Above 80ml </t>
  </si>
  <si>
    <t xml:space="preserve"> Sem Perfume</t>
  </si>
  <si>
    <t xml:space="preserve">Desodorante Rollon Above Men 50ml </t>
  </si>
  <si>
    <t xml:space="preserve"> Dermaclinical</t>
  </si>
  <si>
    <t xml:space="preserve"> Elements Ocean</t>
  </si>
  <si>
    <t xml:space="preserve"> Elements Shiny Silver</t>
  </si>
  <si>
    <t xml:space="preserve"> Sport Energy</t>
  </si>
  <si>
    <t xml:space="preserve">Espuma De Barbear Above Men 150ml </t>
  </si>
  <si>
    <t xml:space="preserve"> Suavizante e Refrescante</t>
  </si>
  <si>
    <t xml:space="preserve"> Carvão Ativado</t>
  </si>
  <si>
    <t xml:space="preserve">Shampoo Above Men 325ml </t>
  </si>
  <si>
    <t xml:space="preserve"> Anticaspa Mentol</t>
  </si>
  <si>
    <t xml:space="preserve"> Anticaspa</t>
  </si>
  <si>
    <t xml:space="preserve"> Fresh </t>
  </si>
  <si>
    <t xml:space="preserve">Sabonete Liquido Palmolive Luminous Oils 650ml </t>
  </si>
  <si>
    <t xml:space="preserve"> Figo e Orquidea</t>
  </si>
  <si>
    <t xml:space="preserve">Balsamo Pós Barba Bozzano 100G </t>
  </si>
  <si>
    <t xml:space="preserve"> Hidratante</t>
  </si>
  <si>
    <t xml:space="preserve"> Pele Sensível</t>
  </si>
  <si>
    <t xml:space="preserve">Creme De Barbear Bozzano 65G </t>
  </si>
  <si>
    <t xml:space="preserve"> Aloe Vera</t>
  </si>
  <si>
    <t xml:space="preserve"> Mentolado</t>
  </si>
  <si>
    <t xml:space="preserve">Desodorante Aerossol Bozzano 200Ml </t>
  </si>
  <si>
    <t xml:space="preserve"> Antibac Fresh</t>
  </si>
  <si>
    <t xml:space="preserve"> Carvão Ativo</t>
  </si>
  <si>
    <t xml:space="preserve"> Dry</t>
  </si>
  <si>
    <t xml:space="preserve"> Extreme Sport</t>
  </si>
  <si>
    <t xml:space="preserve"> Invisible</t>
  </si>
  <si>
    <t xml:space="preserve">Gel Fixador Bozzano 300G </t>
  </si>
  <si>
    <t xml:space="preserve"> Azul</t>
  </si>
  <si>
    <t xml:space="preserve"> Incolor</t>
  </si>
  <si>
    <t xml:space="preserve"> Protetor Solar</t>
  </si>
  <si>
    <t xml:space="preserve">Sabonete Líquido Bozzano Refil 200Ml </t>
  </si>
  <si>
    <t xml:space="preserve"> Fresh</t>
  </si>
  <si>
    <t xml:space="preserve">Loção Hidratante Monange Firmador Q10 200Ml </t>
  </si>
  <si>
    <t xml:space="preserve"> Pele Extrasseca</t>
  </si>
  <si>
    <t xml:space="preserve"> Pele Normal A Seca</t>
  </si>
  <si>
    <t xml:space="preserve">Sabonete Líquido Monange 240Ml </t>
  </si>
  <si>
    <t xml:space="preserve"> Detox</t>
  </si>
  <si>
    <t xml:space="preserve"> Extrato Oliva</t>
  </si>
  <si>
    <t xml:space="preserve"> Flor De Lavanda</t>
  </si>
  <si>
    <t xml:space="preserve"> Frutas Vermelhas</t>
  </si>
  <si>
    <t xml:space="preserve">Loção Deo Hidratante Paixão 200Ml </t>
  </si>
  <si>
    <t xml:space="preserve"> Avelã</t>
  </si>
  <si>
    <t xml:space="preserve"> Flor Baunilha</t>
  </si>
  <si>
    <t xml:space="preserve"> Framboesa Negra</t>
  </si>
  <si>
    <t xml:space="preserve"> Inspiradora</t>
  </si>
  <si>
    <t xml:space="preserve"> Irresistivel</t>
  </si>
  <si>
    <t xml:space="preserve"> Tentadora</t>
  </si>
  <si>
    <t xml:space="preserve">Óleo Deo Corporal Paixão 100Ml </t>
  </si>
  <si>
    <t xml:space="preserve"> Ameixa Rubi</t>
  </si>
  <si>
    <t xml:space="preserve"> Amêndoas Com Avelã</t>
  </si>
  <si>
    <t xml:space="preserve"> Irresistível</t>
  </si>
  <si>
    <t xml:space="preserve">Esmalte Risque Diamond Gel 9,5Ml </t>
  </si>
  <si>
    <t xml:space="preserve"> Amora Negra</t>
  </si>
  <si>
    <t xml:space="preserve"> Azul Capri</t>
  </si>
  <si>
    <t xml:space="preserve"> Branco Camafeu</t>
  </si>
  <si>
    <t xml:space="preserve"> Chá Branco</t>
  </si>
  <si>
    <t xml:space="preserve"> Costela De Adão</t>
  </si>
  <si>
    <t xml:space="preserve"> Espumante Rose</t>
  </si>
  <si>
    <t xml:space="preserve"> Gin &amp; Sunset</t>
  </si>
  <si>
    <t xml:space="preserve"> Hibisco</t>
  </si>
  <si>
    <t xml:space="preserve"> Lavanda Francesa</t>
  </si>
  <si>
    <t xml:space="preserve"> Licor De Cranberry</t>
  </si>
  <si>
    <t xml:space="preserve"> Macaron Amora</t>
  </si>
  <si>
    <t xml:space="preserve"> Mocaccino</t>
  </si>
  <si>
    <t xml:space="preserve"> Noite Estrelada</t>
  </si>
  <si>
    <t xml:space="preserve"> Noz Moscada</t>
  </si>
  <si>
    <t xml:space="preserve"> Pitaya</t>
  </si>
  <si>
    <t xml:space="preserve"> Preto Caviar</t>
  </si>
  <si>
    <t xml:space="preserve"> Sal Rosa</t>
  </si>
  <si>
    <t xml:space="preserve"> Seda Lilas</t>
  </si>
  <si>
    <t xml:space="preserve"> Smoothie De Pêssego</t>
  </si>
  <si>
    <t xml:space="preserve"> Sorbert De Mirtilo</t>
  </si>
  <si>
    <t xml:space="preserve"> Vermelho Cereja</t>
  </si>
  <si>
    <t xml:space="preserve"> Vermelho Rubi</t>
  </si>
  <si>
    <t xml:space="preserve"> Vinho Bordo</t>
  </si>
  <si>
    <t xml:space="preserve">Kit Novex Shampoo 300ml + Condicionador 300ml </t>
  </si>
  <si>
    <t xml:space="preserve"> Água De Arroz</t>
  </si>
  <si>
    <t xml:space="preserve"> Argan</t>
  </si>
  <si>
    <t xml:space="preserve"> Azeite De Oliva</t>
  </si>
  <si>
    <t xml:space="preserve"> Broto De Bambu</t>
  </si>
  <si>
    <t xml:space="preserve"> Cachos De Cinema</t>
  </si>
  <si>
    <t xml:space="preserve"> Doctor Rícino</t>
  </si>
  <si>
    <t xml:space="preserve"> Hialurônico Power</t>
  </si>
  <si>
    <t xml:space="preserve"> Infusão Colágeno</t>
  </si>
  <si>
    <t xml:space="preserve"> Liso Lisinho</t>
  </si>
  <si>
    <t xml:space="preserve"> Meus Cachinhos</t>
  </si>
  <si>
    <t xml:space="preserve"> Meus Cachos</t>
  </si>
  <si>
    <t xml:space="preserve"> Meus Cachos Santo Black</t>
  </si>
  <si>
    <t xml:space="preserve"> Óleo De Coco</t>
  </si>
  <si>
    <t xml:space="preserve"> Recarga De Queratina</t>
  </si>
  <si>
    <t xml:space="preserve"> Super Babosão</t>
  </si>
  <si>
    <t xml:space="preserve">Máscara De Hidratação Capilar Novex Recarga 80g </t>
  </si>
  <si>
    <t xml:space="preserve"> Reposição De Massa</t>
  </si>
  <si>
    <t xml:space="preserve"> Queratina</t>
  </si>
  <si>
    <t xml:space="preserve">Hairlife 180g </t>
  </si>
  <si>
    <t xml:space="preserve"> Cachos </t>
  </si>
  <si>
    <t xml:space="preserve"> Liso Laminado </t>
  </si>
  <si>
    <t xml:space="preserve"> Liso&amp;Natural </t>
  </si>
  <si>
    <t xml:space="preserve"> Relaxamento</t>
  </si>
  <si>
    <t xml:space="preserve">Creme Relaxante Amacihair 200g </t>
  </si>
  <si>
    <t xml:space="preserve"> Azeite Oliva</t>
  </si>
  <si>
    <t xml:space="preserve"> Hialurônico</t>
  </si>
  <si>
    <t xml:space="preserve"> Liso</t>
  </si>
  <si>
    <t xml:space="preserve"> Tradicional</t>
  </si>
  <si>
    <t>Leave</t>
  </si>
  <si>
    <t>In Novex Salon Blindagem Gloss Color 120ml</t>
  </si>
  <si>
    <t xml:space="preserve">Creme Hidratante Corporal Phytoderm 200g </t>
  </si>
  <si>
    <t xml:space="preserve"> Glamour</t>
  </si>
  <si>
    <t xml:space="preserve">Deo Colônia Body Splash Phytoderm 200ml </t>
  </si>
  <si>
    <t xml:space="preserve"> Luna Dolce</t>
  </si>
  <si>
    <t xml:space="preserve"> Miss Rose</t>
  </si>
  <si>
    <t xml:space="preserve"> Pure Secret</t>
  </si>
  <si>
    <t xml:space="preserve"> Sexy Girl</t>
  </si>
  <si>
    <t xml:space="preserve"> Vanilla Kiss</t>
  </si>
  <si>
    <t xml:space="preserve">Loção Hidratante Corporal Phytoderm 200ml </t>
  </si>
  <si>
    <t xml:space="preserve">Condicionador OX 500ml </t>
  </si>
  <si>
    <t xml:space="preserve"> Colágeno</t>
  </si>
  <si>
    <t xml:space="preserve"> Glicólico</t>
  </si>
  <si>
    <t xml:space="preserve"> Micelar</t>
  </si>
  <si>
    <t xml:space="preserve"> Vita Glow</t>
  </si>
  <si>
    <t xml:space="preserve">Shampoo OX 500ml </t>
  </si>
  <si>
    <t xml:space="preserve">Máscara de Tratamento OX 200g </t>
  </si>
  <si>
    <t xml:space="preserve">Máscara de Tratamento OX 300g </t>
  </si>
  <si>
    <t xml:space="preserve">Absorvente Intimus Interno 16 Unds </t>
  </si>
  <si>
    <t xml:space="preserve"> Médio</t>
  </si>
  <si>
    <t xml:space="preserve"> Mini</t>
  </si>
  <si>
    <t xml:space="preserve"> Super</t>
  </si>
  <si>
    <t xml:space="preserve">Protetor Diário Intimus Days 80 Unds </t>
  </si>
  <si>
    <t xml:space="preserve"> Antibacteriano</t>
  </si>
  <si>
    <t xml:space="preserve"> S/Perfume</t>
  </si>
  <si>
    <t xml:space="preserve">Sabonete Líquido Huggies 200ml </t>
  </si>
  <si>
    <t xml:space="preserve"> Camomila</t>
  </si>
  <si>
    <t xml:space="preserve"> Extra Suave</t>
  </si>
  <si>
    <t xml:space="preserve">Sabonete Líquido Huggies 200ml Refil </t>
  </si>
  <si>
    <t xml:space="preserve">Sabonete Gel Facial Nivea 150ml </t>
  </si>
  <si>
    <t xml:space="preserve"> Controle do Brilho</t>
  </si>
  <si>
    <t xml:space="preserve"> Equilibrio Nutritivo</t>
  </si>
  <si>
    <t xml:space="preserve">Lenços de Limpeza Facial Nivea 3em1 25Unds </t>
  </si>
  <si>
    <t xml:space="preserve"> Ação Refrescante</t>
  </si>
  <si>
    <t xml:space="preserve"> Ação Hidratante</t>
  </si>
  <si>
    <t xml:space="preserve">Água Micelar Limpeza Facial Nivea 7em1 200ml </t>
  </si>
  <si>
    <t xml:space="preserve"> Efeito Matte</t>
  </si>
  <si>
    <t xml:space="preserve"> Refrescante</t>
  </si>
  <si>
    <t xml:space="preserve">Desodorante Gel Secret 73g </t>
  </si>
  <si>
    <t xml:space="preserve"> Clear Cotton</t>
  </si>
  <si>
    <t xml:space="preserve"> Clear Lavender</t>
  </si>
  <si>
    <t xml:space="preserve">Desodorante Aerossol Old Spice 250ml </t>
  </si>
  <si>
    <t xml:space="preserve"> Amadeirado</t>
  </si>
  <si>
    <t xml:space="preserve"> Aventura</t>
  </si>
  <si>
    <t xml:space="preserve"> Brisa do Mar</t>
  </si>
  <si>
    <t xml:space="preserve"> Vip</t>
  </si>
  <si>
    <t xml:space="preserve">Condicionador Pantene 250ml </t>
  </si>
  <si>
    <t xml:space="preserve"> Bond Repair</t>
  </si>
  <si>
    <t xml:space="preserve"> Biotinamina</t>
  </si>
  <si>
    <t xml:space="preserve"> Nutre e Cresce Bambu</t>
  </si>
  <si>
    <t xml:space="preserve">Shampoo Pantene 300ml </t>
  </si>
  <si>
    <t xml:space="preserve">Shampoo Pantene 400ml </t>
  </si>
  <si>
    <t xml:space="preserve">Loção Corporal Dove Serum 180g </t>
  </si>
  <si>
    <t xml:space="preserve"> Hialurônico + Dermo Renovador</t>
  </si>
  <si>
    <t xml:space="preserve"> Niacinamida + Uniformizador</t>
  </si>
  <si>
    <t xml:space="preserve"> Pantenol + Dermo Reparador</t>
  </si>
  <si>
    <t xml:space="preserve"> Pró Ceramidas + Dermo Hidratante</t>
  </si>
  <si>
    <t xml:space="preserve"> Pró Retinol + Firmador</t>
  </si>
  <si>
    <t xml:space="preserve">Loção Corporal Dove Serum 380g </t>
  </si>
  <si>
    <t xml:space="preserve">Óleo Serum Corporal Deo Hidratante Dove 150ml </t>
  </si>
  <si>
    <t xml:space="preserve"> Ceramidas</t>
  </si>
  <si>
    <t xml:space="preserve"> Tom Uniforme</t>
  </si>
  <si>
    <t xml:space="preserve">Desodorante Stick Dove Serum 45g </t>
  </si>
  <si>
    <t xml:space="preserve"> Aqua Coconut</t>
  </si>
  <si>
    <t xml:space="preserve"> Rainforest Lilies</t>
  </si>
  <si>
    <t xml:space="preserve"> Sakura Blossom</t>
  </si>
  <si>
    <t xml:space="preserve"> Tropical Hibiscus</t>
  </si>
  <si>
    <t xml:space="preserve">Desodorante Aerossol Rexona Fem 250ml </t>
  </si>
  <si>
    <t xml:space="preserve"> Antibac Invisível</t>
  </si>
  <si>
    <t xml:space="preserve"> Cotton</t>
  </si>
  <si>
    <t xml:space="preserve"> Powder</t>
  </si>
  <si>
    <t xml:space="preserve">Desodorante Aerossol Rexona Men 250ml </t>
  </si>
  <si>
    <t xml:space="preserve"> Active Dry</t>
  </si>
  <si>
    <t xml:space="preserve"> V8</t>
  </si>
  <si>
    <t xml:space="preserve">Shampoo Seda Infantil 300ml </t>
  </si>
  <si>
    <t xml:space="preserve"> Frozen Brilho Encantado</t>
  </si>
  <si>
    <t xml:space="preserve"> Moana Cachos Encantados</t>
  </si>
  <si>
    <t xml:space="preserve"> Tiana Crespos Encantados</t>
  </si>
  <si>
    <t xml:space="preserve">Shampoo Seda 300ml </t>
  </si>
  <si>
    <t xml:space="preserve"> By Raiza Força e Crescimento</t>
  </si>
  <si>
    <t xml:space="preserve"> Luminous UV</t>
  </si>
  <si>
    <t xml:space="preserve"> Regeneração Intensa</t>
  </si>
  <si>
    <t xml:space="preserve"> Toque de Seda</t>
  </si>
  <si>
    <t xml:space="preserve">Shampoo Seda 325ml </t>
  </si>
  <si>
    <t xml:space="preserve"> Anticaspa Hidratação Diária</t>
  </si>
  <si>
    <t xml:space="preserve"> Cachos Definidos</t>
  </si>
  <si>
    <t xml:space="preserve"> Liso Perfeito</t>
  </si>
  <si>
    <t xml:space="preserve"> Pretos Luminosos</t>
  </si>
  <si>
    <t xml:space="preserve"> Pureza Detox</t>
  </si>
  <si>
    <t xml:space="preserve">Creme de Tratamento Seda 300g </t>
  </si>
  <si>
    <t xml:space="preserve"> Prebióticos + Biotina</t>
  </si>
  <si>
    <t xml:space="preserve">Creme de Pentear Seda 900ml </t>
  </si>
  <si>
    <t xml:space="preserve"> Chicabon</t>
  </si>
  <si>
    <t xml:space="preserve"> Frutilly</t>
  </si>
  <si>
    <t xml:space="preserve">Desodorante Herbissimo Care Aerossol 150ml </t>
  </si>
  <si>
    <t xml:space="preserve">   Lavanda </t>
  </si>
  <si>
    <t xml:space="preserve">  Hibisco </t>
  </si>
  <si>
    <t xml:space="preserve">  Sensitive </t>
  </si>
  <si>
    <t xml:space="preserve">  Vanilla </t>
  </si>
  <si>
    <t xml:space="preserve">Desodorante Herbissimo Men Aerossol 150ml </t>
  </si>
  <si>
    <t xml:space="preserve">  Blue Ice</t>
  </si>
  <si>
    <t xml:space="preserve">  Dark Silver </t>
  </si>
  <si>
    <t xml:space="preserve">  Snow Moon </t>
  </si>
  <si>
    <t xml:space="preserve">  Vulcano</t>
  </si>
  <si>
    <t xml:space="preserve">Desodorante Herbissimo Care Bisnaga 55g </t>
  </si>
  <si>
    <t xml:space="preserve"> Coco e Vitamina C</t>
  </si>
  <si>
    <t xml:space="preserve"> Linhaça</t>
  </si>
  <si>
    <t xml:space="preserve"> Monoi </t>
  </si>
  <si>
    <t xml:space="preserve"> Rosa Mosqueta</t>
  </si>
  <si>
    <t xml:space="preserve">Desodorante Herbissimo Creme 55g </t>
  </si>
  <si>
    <t xml:space="preserve"> Kids</t>
  </si>
  <si>
    <t xml:space="preserve"> Lavanda</t>
  </si>
  <si>
    <t xml:space="preserve"> Neutro</t>
  </si>
  <si>
    <t xml:space="preserve"> Sensitive</t>
  </si>
  <si>
    <t xml:space="preserve"> Vanilla</t>
  </si>
  <si>
    <t xml:space="preserve">Caneca Treinamento Decorada Kuka Color Fun 200ml </t>
  </si>
  <si>
    <t xml:space="preserve"> Rosa</t>
  </si>
  <si>
    <t xml:space="preserve">Conjunto Para Cabelo Kuka Escova + Pente </t>
  </si>
  <si>
    <t xml:space="preserve">Copo de Treinamento Kuka Fun Antivazamento 330ml  </t>
  </si>
  <si>
    <t xml:space="preserve">Prato Térmico + 2 Colheres Kuka </t>
  </si>
  <si>
    <t>Smurfs Vitamina Infantil A</t>
  </si>
  <si>
    <t>Z 30 Gomas</t>
  </si>
  <si>
    <t xml:space="preserve">Ciflogex 1,5mg/ml Colutório Spray 30ml </t>
  </si>
  <si>
    <t xml:space="preserve"> Mel</t>
  </si>
  <si>
    <t xml:space="preserve">Ciflogex 3mg 12 Pastilhas </t>
  </si>
  <si>
    <t xml:space="preserve"> Cereja</t>
  </si>
  <si>
    <t xml:space="preserve"> Laranja</t>
  </si>
  <si>
    <t>Limão</t>
  </si>
  <si>
    <t xml:space="preserve"> Menta</t>
  </si>
  <si>
    <t xml:space="preserve">Ciflogex Diet 3mg 12 Pastilhas </t>
  </si>
  <si>
    <t xml:space="preserve">Talco Pelotense Baby 180g </t>
  </si>
  <si>
    <t xml:space="preserve"> Rosa </t>
  </si>
  <si>
    <t xml:space="preserve"> Amarelo</t>
  </si>
  <si>
    <t xml:space="preserve">Strepsils 8 Pastilhas </t>
  </si>
  <si>
    <t xml:space="preserve"> Mel e Limão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</si>
</sst>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00_-;\-&quot;R$&quot;\ * #,##0.0000_-;_-&quot;R$&quot;\ * &quot;-&quot;??_-;_-@_-"/>
  </numFmts>
  <fonts count="2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</font>
    <font>
      <sz val="9"/>
      <color rgb="FF000000"/>
      <name val="Calibri"/>
      <family val="2"/>
    </font>
    <font>
      <sz val="10"/>
      <color rgb="FF000000"/>
      <name val="Times New Roman"/>
      <family val="1"/>
    </font>
    <font>
      <b/>
      <sz val="9"/>
      <color rgb="FF000000"/>
      <name val="Calibri"/>
      <family val="2"/>
    </font>
    <font>
      <sz val="10"/>
      <color rgb="FF000000"/>
      <name val="Aptos Narrow"/>
      <family val="2"/>
      <scheme val="minor"/>
    </font>
    <font>
      <b/>
      <sz val="10"/>
      <color theme="1"/>
      <name val="Calibri"/>
      <family val="2"/>
    </font>
    <font>
      <b/>
      <sz val="12"/>
      <color rgb="FFFFFFFF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sz val="9"/>
      <color indexed="8"/>
      <name val="Calibri"/>
      <family val="2"/>
    </font>
    <font>
      <sz val="9"/>
      <color rgb="FF222222"/>
      <name val="Calibri"/>
      <family val="2"/>
    </font>
    <font>
      <sz val="9"/>
      <color rgb="FF212529"/>
      <name val="Calibri"/>
      <family val="2"/>
    </font>
    <font>
      <b/>
      <sz val="10"/>
      <color rgb="FFFFFFFF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9999"/>
        <bgColor rgb="FF00999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42"/>
      </patternFill>
    </fill>
    <fill>
      <patternFill patternType="solid">
        <fgColor theme="9" tint="0.59999389629810485"/>
        <bgColor rgb="FFFFFFFF"/>
      </patternFill>
    </fill>
  </fills>
  <borders count="7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63"/>
      </left>
      <right/>
      <top style="thin">
        <color indexed="64"/>
      </top>
      <bottom style="thin">
        <color indexed="63"/>
      </bottom>
      <diagonal/>
    </border>
    <border>
      <left style="thin">
        <color indexed="64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 style="thin">
        <color indexed="63"/>
      </left>
      <right/>
      <top style="thin">
        <color indexed="63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9">
    <xf numFmtId="0" fontId="0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17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0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23" fillId="0" borderId="0"/>
    <xf numFmtId="44" fontId="4" fillId="0" borderId="0" applyFont="0" applyFill="0" applyBorder="0" applyAlignment="0" applyProtection="0"/>
  </cellStyleXfs>
  <cellXfs count="28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44" fontId="6" fillId="0" borderId="0" xfId="3" applyFont="1"/>
    <xf numFmtId="0" fontId="8" fillId="0" borderId="0" xfId="0" applyFont="1"/>
    <xf numFmtId="0" fontId="10" fillId="4" borderId="48" xfId="0" applyFont="1" applyFill="1" applyBorder="1" applyAlignment="1">
      <alignment horizontal="center" vertical="center"/>
    </xf>
    <xf numFmtId="1" fontId="10" fillId="4" borderId="48" xfId="0" applyNumberFormat="1" applyFont="1" applyFill="1" applyBorder="1" applyAlignment="1">
      <alignment horizontal="center" vertical="center"/>
    </xf>
    <xf numFmtId="0" fontId="10" fillId="4" borderId="48" xfId="0" applyFont="1" applyFill="1" applyBorder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/>
    </xf>
    <xf numFmtId="44" fontId="10" fillId="4" borderId="48" xfId="3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1" fontId="12" fillId="0" borderId="48" xfId="0" applyNumberFormat="1" applyFont="1" applyBorder="1" applyAlignment="1">
      <alignment horizontal="center"/>
    </xf>
    <xf numFmtId="1" fontId="12" fillId="0" borderId="49" xfId="0" applyNumberFormat="1" applyFont="1" applyBorder="1" applyAlignment="1">
      <alignment horizontal="left"/>
    </xf>
    <xf numFmtId="44" fontId="12" fillId="0" borderId="48" xfId="4" applyFont="1" applyFill="1" applyBorder="1" applyAlignment="1">
      <alignment horizontal="center" vertical="center" wrapText="1"/>
    </xf>
    <xf numFmtId="44" fontId="13" fillId="5" borderId="48" xfId="5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" fontId="7" fillId="0" borderId="48" xfId="0" applyNumberFormat="1" applyFont="1" applyBorder="1" applyAlignment="1">
      <alignment horizontal="center" vertical="center"/>
    </xf>
    <xf numFmtId="1" fontId="7" fillId="0" borderId="49" xfId="0" applyNumberFormat="1" applyFont="1" applyBorder="1" applyAlignment="1">
      <alignment horizontal="left" vertical="center"/>
    </xf>
    <xf numFmtId="0" fontId="7" fillId="0" borderId="48" xfId="7" applyFont="1" applyBorder="1" applyAlignment="1">
      <alignment horizontal="center" vertical="center" wrapText="1"/>
    </xf>
    <xf numFmtId="44" fontId="7" fillId="0" borderId="0" xfId="1" applyFont="1" applyAlignment="1">
      <alignment vertical="center"/>
    </xf>
    <xf numFmtId="164" fontId="7" fillId="0" borderId="0" xfId="0" applyNumberFormat="1" applyFont="1" applyAlignment="1">
      <alignment vertical="center"/>
    </xf>
    <xf numFmtId="1" fontId="11" fillId="0" borderId="50" xfId="0" applyNumberFormat="1" applyFont="1" applyBorder="1" applyAlignment="1">
      <alignment horizontal="center" vertical="center"/>
    </xf>
    <xf numFmtId="0" fontId="8" fillId="0" borderId="50" xfId="0" applyFont="1" applyBorder="1"/>
    <xf numFmtId="44" fontId="18" fillId="0" borderId="50" xfId="3" applyFont="1" applyFill="1" applyBorder="1" applyAlignment="1">
      <alignment horizontal="center" vertical="center"/>
    </xf>
    <xf numFmtId="10" fontId="11" fillId="0" borderId="50" xfId="6" applyNumberFormat="1" applyFont="1" applyFill="1" applyBorder="1" applyAlignment="1">
      <alignment horizontal="center" vertical="center"/>
    </xf>
    <xf numFmtId="44" fontId="16" fillId="5" borderId="48" xfId="22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10" fontId="6" fillId="0" borderId="0" xfId="3" applyNumberFormat="1" applyFont="1"/>
    <xf numFmtId="0" fontId="12" fillId="0" borderId="48" xfId="0" applyFont="1" applyBorder="1" applyAlignment="1">
      <alignment horizontal="center"/>
    </xf>
    <xf numFmtId="1" fontId="7" fillId="0" borderId="48" xfId="0" applyNumberFormat="1" applyFont="1" applyBorder="1" applyAlignment="1" applyProtection="1">
      <alignment horizontal="center" vertical="center" wrapText="1" readingOrder="1"/>
      <protection locked="0"/>
    </xf>
    <xf numFmtId="0" fontId="10" fillId="4" borderId="51" xfId="0" applyFont="1" applyFill="1" applyBorder="1" applyAlignment="1">
      <alignment horizontal="center" vertical="center"/>
    </xf>
    <xf numFmtId="1" fontId="11" fillId="0" borderId="55" xfId="0" applyNumberFormat="1" applyFont="1" applyBorder="1" applyAlignment="1" applyProtection="1">
      <alignment horizontal="center" vertical="center" readingOrder="1"/>
      <protection locked="0"/>
    </xf>
    <xf numFmtId="0" fontId="11" fillId="0" borderId="55" xfId="7" applyFont="1" applyBorder="1" applyAlignment="1">
      <alignment horizontal="center" vertical="center" wrapText="1"/>
    </xf>
    <xf numFmtId="0" fontId="22" fillId="0" borderId="48" xfId="7" applyFont="1" applyBorder="1" applyAlignment="1">
      <alignment horizontal="center" vertical="center" wrapText="1"/>
    </xf>
    <xf numFmtId="1" fontId="14" fillId="0" borderId="48" xfId="0" applyNumberFormat="1" applyFont="1" applyBorder="1" applyAlignment="1">
      <alignment horizontal="center" vertical="center"/>
    </xf>
    <xf numFmtId="1" fontId="12" fillId="9" borderId="49" xfId="0" applyNumberFormat="1" applyFont="1" applyFill="1" applyBorder="1" applyAlignment="1">
      <alignment horizontal="left"/>
    </xf>
    <xf numFmtId="1" fontId="12" fillId="0" borderId="48" xfId="0" applyNumberFormat="1" applyFont="1" applyBorder="1" applyAlignment="1">
      <alignment horizontal="center" vertical="center"/>
    </xf>
    <xf numFmtId="1" fontId="12" fillId="0" borderId="49" xfId="0" applyNumberFormat="1" applyFont="1" applyBorder="1"/>
    <xf numFmtId="1" fontId="12" fillId="0" borderId="52" xfId="0" applyNumberFormat="1" applyFont="1" applyBorder="1" applyAlignment="1">
      <alignment horizontal="left" vertical="center"/>
    </xf>
    <xf numFmtId="1" fontId="14" fillId="0" borderId="48" xfId="0" applyNumberFormat="1" applyFont="1" applyBorder="1" applyAlignment="1">
      <alignment horizontal="left" vertical="center"/>
    </xf>
    <xf numFmtId="1" fontId="12" fillId="6" borderId="48" xfId="0" applyNumberFormat="1" applyFont="1" applyFill="1" applyBorder="1" applyAlignment="1">
      <alignment horizontal="center" vertical="center"/>
    </xf>
    <xf numFmtId="1" fontId="12" fillId="6" borderId="48" xfId="0" applyNumberFormat="1" applyFont="1" applyFill="1" applyBorder="1" applyAlignment="1">
      <alignment horizontal="left" vertical="center"/>
    </xf>
    <xf numFmtId="1" fontId="7" fillId="0" borderId="48" xfId="0" applyNumberFormat="1" applyFont="1" applyBorder="1" applyAlignment="1">
      <alignment horizontal="left" vertical="center"/>
    </xf>
    <xf numFmtId="1" fontId="7" fillId="0" borderId="51" xfId="0" applyNumberFormat="1" applyFont="1" applyBorder="1" applyAlignment="1">
      <alignment horizontal="center" vertical="center"/>
    </xf>
    <xf numFmtId="44" fontId="10" fillId="4" borderId="52" xfId="3" applyFont="1" applyFill="1" applyBorder="1" applyAlignment="1">
      <alignment horizontal="center" vertical="center" wrapText="1"/>
    </xf>
    <xf numFmtId="44" fontId="12" fillId="0" borderId="52" xfId="4" applyFont="1" applyFill="1" applyBorder="1" applyAlignment="1">
      <alignment horizontal="center" vertical="center" wrapText="1"/>
    </xf>
    <xf numFmtId="44" fontId="7" fillId="11" borderId="0" xfId="0" applyNumberFormat="1" applyFont="1" applyFill="1" applyAlignment="1">
      <alignment vertical="center"/>
    </xf>
    <xf numFmtId="44" fontId="7" fillId="12" borderId="0" xfId="0" applyNumberFormat="1" applyFont="1" applyFill="1" applyAlignment="1">
      <alignment vertical="center"/>
    </xf>
    <xf numFmtId="44" fontId="7" fillId="13" borderId="0" xfId="0" applyNumberFormat="1" applyFont="1" applyFill="1" applyAlignment="1">
      <alignment vertical="center"/>
    </xf>
    <xf numFmtId="44" fontId="7" fillId="10" borderId="0" xfId="0" applyNumberFormat="1" applyFont="1" applyFill="1" applyAlignment="1">
      <alignment vertical="center"/>
    </xf>
    <xf numFmtId="44" fontId="7" fillId="14" borderId="0" xfId="0" applyNumberFormat="1" applyFont="1" applyFill="1" applyAlignment="1">
      <alignment vertical="center"/>
    </xf>
    <xf numFmtId="1" fontId="7" fillId="9" borderId="49" xfId="0" applyNumberFormat="1" applyFont="1" applyFill="1" applyBorder="1" applyAlignment="1">
      <alignment horizontal="left" vertical="center"/>
    </xf>
    <xf numFmtId="0" fontId="0" fillId="6" borderId="0" xfId="0" applyFill="1"/>
    <xf numFmtId="0" fontId="7" fillId="16" borderId="48" xfId="0" applyFont="1" applyFill="1" applyBorder="1" applyAlignment="1">
      <alignment horizontal="center"/>
    </xf>
    <xf numFmtId="1" fontId="7" fillId="16" borderId="48" xfId="0" applyNumberFormat="1" applyFont="1" applyFill="1" applyBorder="1" applyAlignment="1">
      <alignment horizontal="center"/>
    </xf>
    <xf numFmtId="1" fontId="7" fillId="16" borderId="49" xfId="0" applyNumberFormat="1" applyFont="1" applyFill="1" applyBorder="1" applyAlignment="1">
      <alignment horizontal="left"/>
    </xf>
    <xf numFmtId="44" fontId="12" fillId="16" borderId="52" xfId="4" applyFont="1" applyFill="1" applyBorder="1" applyAlignment="1">
      <alignment horizontal="center" vertical="center" wrapText="1"/>
    </xf>
    <xf numFmtId="44" fontId="13" fillId="16" borderId="48" xfId="5" applyFont="1" applyFill="1" applyBorder="1" applyAlignment="1">
      <alignment horizontal="center" vertical="center"/>
    </xf>
    <xf numFmtId="1" fontId="14" fillId="16" borderId="48" xfId="0" applyNumberFormat="1" applyFont="1" applyFill="1" applyBorder="1" applyAlignment="1">
      <alignment horizontal="center"/>
    </xf>
    <xf numFmtId="1" fontId="7" fillId="16" borderId="48" xfId="0" applyNumberFormat="1" applyFont="1" applyFill="1" applyBorder="1" applyAlignment="1">
      <alignment horizontal="center" wrapText="1"/>
    </xf>
    <xf numFmtId="1" fontId="14" fillId="16" borderId="48" xfId="0" quotePrefix="1" applyNumberFormat="1" applyFont="1" applyFill="1" applyBorder="1" applyAlignment="1">
      <alignment horizontal="center"/>
    </xf>
    <xf numFmtId="0" fontId="12" fillId="16" borderId="48" xfId="0" applyFont="1" applyFill="1" applyBorder="1" applyAlignment="1">
      <alignment horizontal="center"/>
    </xf>
    <xf numFmtId="1" fontId="12" fillId="16" borderId="66" xfId="0" applyNumberFormat="1" applyFont="1" applyFill="1" applyBorder="1" applyAlignment="1">
      <alignment horizontal="center" vertical="top"/>
    </xf>
    <xf numFmtId="0" fontId="12" fillId="16" borderId="67" xfId="0" applyFont="1" applyFill="1" applyBorder="1" applyAlignment="1">
      <alignment horizontal="left" vertical="top"/>
    </xf>
    <xf numFmtId="1" fontId="12" fillId="16" borderId="68" xfId="0" applyNumberFormat="1" applyFont="1" applyFill="1" applyBorder="1" applyAlignment="1">
      <alignment horizontal="center" vertical="top"/>
    </xf>
    <xf numFmtId="0" fontId="12" fillId="16" borderId="69" xfId="0" applyFont="1" applyFill="1" applyBorder="1" applyAlignment="1">
      <alignment horizontal="left" vertical="top"/>
    </xf>
    <xf numFmtId="1" fontId="12" fillId="16" borderId="70" xfId="0" applyNumberFormat="1" applyFont="1" applyFill="1" applyBorder="1" applyAlignment="1">
      <alignment horizontal="center" vertical="top"/>
    </xf>
    <xf numFmtId="0" fontId="12" fillId="16" borderId="71" xfId="0" applyFont="1" applyFill="1" applyBorder="1" applyAlignment="1">
      <alignment horizontal="left" vertical="top"/>
    </xf>
    <xf numFmtId="0" fontId="7" fillId="16" borderId="48" xfId="7" applyFont="1" applyFill="1" applyBorder="1" applyAlignment="1">
      <alignment horizontal="center" vertical="center" wrapText="1"/>
    </xf>
    <xf numFmtId="1" fontId="7" fillId="16" borderId="48" xfId="0" applyNumberFormat="1" applyFont="1" applyFill="1" applyBorder="1" applyAlignment="1">
      <alignment horizontal="center" vertical="center"/>
    </xf>
    <xf numFmtId="1" fontId="7" fillId="16" borderId="49" xfId="2" applyNumberFormat="1" applyFont="1" applyFill="1" applyBorder="1" applyAlignment="1">
      <alignment vertical="center"/>
    </xf>
    <xf numFmtId="44" fontId="16" fillId="16" borderId="48" xfId="3" applyFont="1" applyFill="1" applyBorder="1" applyAlignment="1">
      <alignment horizontal="center" vertical="center"/>
    </xf>
    <xf numFmtId="1" fontId="12" fillId="16" borderId="48" xfId="7" applyNumberFormat="1" applyFont="1" applyFill="1" applyBorder="1" applyAlignment="1">
      <alignment horizontal="center" vertical="center" wrapText="1"/>
    </xf>
    <xf numFmtId="0" fontId="7" fillId="16" borderId="49" xfId="0" applyFont="1" applyFill="1" applyBorder="1" applyAlignment="1">
      <alignment horizontal="left" vertical="center"/>
    </xf>
    <xf numFmtId="1" fontId="7" fillId="16" borderId="49" xfId="0" applyNumberFormat="1" applyFont="1" applyFill="1" applyBorder="1" applyAlignment="1">
      <alignment horizontal="left" vertical="center"/>
    </xf>
    <xf numFmtId="1" fontId="7" fillId="16" borderId="48" xfId="0" applyNumberFormat="1" applyFont="1" applyFill="1" applyBorder="1" applyAlignment="1" applyProtection="1">
      <alignment horizontal="center" vertical="center" wrapText="1" readingOrder="1"/>
      <protection locked="0"/>
    </xf>
    <xf numFmtId="1" fontId="7" fillId="16" borderId="52" xfId="0" applyNumberFormat="1" applyFont="1" applyFill="1" applyBorder="1" applyAlignment="1">
      <alignment horizontal="center" vertical="center"/>
    </xf>
    <xf numFmtId="44" fontId="7" fillId="16" borderId="48" xfId="1" applyFont="1" applyFill="1" applyBorder="1" applyAlignment="1" applyProtection="1">
      <alignment horizontal="center" vertical="center" wrapText="1" readingOrder="1"/>
      <protection locked="0"/>
    </xf>
    <xf numFmtId="1" fontId="12" fillId="16" borderId="48" xfId="0" applyNumberFormat="1" applyFont="1" applyFill="1" applyBorder="1" applyAlignment="1">
      <alignment horizontal="center"/>
    </xf>
    <xf numFmtId="1" fontId="12" fillId="16" borderId="49" xfId="0" applyNumberFormat="1" applyFont="1" applyFill="1" applyBorder="1" applyAlignment="1">
      <alignment horizontal="left"/>
    </xf>
    <xf numFmtId="1" fontId="26" fillId="16" borderId="72" xfId="0" applyNumberFormat="1" applyFont="1" applyFill="1" applyBorder="1" applyAlignment="1">
      <alignment horizontal="center" vertical="center"/>
    </xf>
    <xf numFmtId="0" fontId="7" fillId="16" borderId="73" xfId="0" applyFont="1" applyFill="1" applyBorder="1" applyAlignment="1">
      <alignment horizontal="left" vertical="center"/>
    </xf>
    <xf numFmtId="0" fontId="7" fillId="16" borderId="74" xfId="0" applyFont="1" applyFill="1" applyBorder="1" applyAlignment="1">
      <alignment horizontal="left" vertical="center"/>
    </xf>
    <xf numFmtId="0" fontId="7" fillId="16" borderId="75" xfId="0" applyFont="1" applyFill="1" applyBorder="1" applyAlignment="1">
      <alignment horizontal="left" vertical="center"/>
    </xf>
    <xf numFmtId="1" fontId="12" fillId="16" borderId="48" xfId="0" applyNumberFormat="1" applyFont="1" applyFill="1" applyBorder="1" applyAlignment="1">
      <alignment horizontal="center" vertical="center"/>
    </xf>
    <xf numFmtId="0" fontId="7" fillId="16" borderId="49" xfId="0" applyFont="1" applyFill="1" applyBorder="1"/>
    <xf numFmtId="0" fontId="25" fillId="16" borderId="49" xfId="0" applyFont="1" applyFill="1" applyBorder="1"/>
    <xf numFmtId="1" fontId="14" fillId="17" borderId="48" xfId="0" applyNumberFormat="1" applyFont="1" applyFill="1" applyBorder="1" applyAlignment="1">
      <alignment horizontal="center"/>
    </xf>
    <xf numFmtId="0" fontId="14" fillId="17" borderId="49" xfId="0" applyFont="1" applyFill="1" applyBorder="1"/>
    <xf numFmtId="1" fontId="7" fillId="16" borderId="48" xfId="0" applyNumberFormat="1" applyFont="1" applyFill="1" applyBorder="1" applyAlignment="1">
      <alignment horizontal="left" vertical="center"/>
    </xf>
    <xf numFmtId="44" fontId="12" fillId="16" borderId="48" xfId="16" applyFont="1" applyFill="1" applyBorder="1" applyAlignment="1">
      <alignment horizontal="center" vertical="center" wrapText="1"/>
    </xf>
    <xf numFmtId="1" fontId="14" fillId="16" borderId="48" xfId="0" applyNumberFormat="1" applyFont="1" applyFill="1" applyBorder="1" applyAlignment="1">
      <alignment horizontal="center" vertical="center"/>
    </xf>
    <xf numFmtId="1" fontId="12" fillId="16" borderId="48" xfId="0" applyNumberFormat="1" applyFont="1" applyFill="1" applyBorder="1" applyAlignment="1">
      <alignment horizontal="left"/>
    </xf>
    <xf numFmtId="1" fontId="14" fillId="16" borderId="48" xfId="0" applyNumberFormat="1" applyFont="1" applyFill="1" applyBorder="1" applyAlignment="1">
      <alignment horizontal="left"/>
    </xf>
    <xf numFmtId="44" fontId="16" fillId="16" borderId="48" xfId="22" applyFont="1" applyFill="1" applyBorder="1" applyAlignment="1">
      <alignment horizontal="center" vertical="center" wrapText="1"/>
    </xf>
    <xf numFmtId="1" fontId="24" fillId="16" borderId="48" xfId="0" applyNumberFormat="1" applyFont="1" applyFill="1" applyBorder="1" applyAlignment="1">
      <alignment horizontal="center" vertical="center" wrapText="1"/>
    </xf>
    <xf numFmtId="1" fontId="24" fillId="18" borderId="48" xfId="0" applyNumberFormat="1" applyFont="1" applyFill="1" applyBorder="1" applyAlignment="1">
      <alignment horizontal="center" vertical="center" wrapText="1"/>
    </xf>
    <xf numFmtId="0" fontId="14" fillId="16" borderId="48" xfId="0" applyFont="1" applyFill="1" applyBorder="1" applyAlignment="1">
      <alignment horizontal="center" vertical="center" wrapText="1"/>
    </xf>
    <xf numFmtId="1" fontId="7" fillId="16" borderId="48" xfId="2" applyNumberFormat="1" applyFont="1" applyFill="1" applyBorder="1" applyAlignment="1">
      <alignment vertical="center"/>
    </xf>
    <xf numFmtId="0" fontId="7" fillId="16" borderId="54" xfId="7" applyFont="1" applyFill="1" applyBorder="1" applyAlignment="1">
      <alignment horizontal="center" vertical="center"/>
    </xf>
    <xf numFmtId="1" fontId="7" fillId="16" borderId="54" xfId="0" applyNumberFormat="1" applyFont="1" applyFill="1" applyBorder="1" applyAlignment="1">
      <alignment horizontal="center"/>
    </xf>
    <xf numFmtId="0" fontId="7" fillId="16" borderId="54" xfId="0" applyFont="1" applyFill="1" applyBorder="1"/>
    <xf numFmtId="44" fontId="12" fillId="16" borderId="54" xfId="16" applyFont="1" applyFill="1" applyBorder="1" applyAlignment="1">
      <alignment horizontal="center" vertical="center" wrapText="1"/>
    </xf>
    <xf numFmtId="44" fontId="16" fillId="16" borderId="54" xfId="22" applyFont="1" applyFill="1" applyBorder="1" applyAlignment="1">
      <alignment horizontal="center" vertical="center" wrapText="1"/>
    </xf>
    <xf numFmtId="0" fontId="7" fillId="16" borderId="48" xfId="7" applyFont="1" applyFill="1" applyBorder="1" applyAlignment="1">
      <alignment horizontal="center" vertical="center"/>
    </xf>
    <xf numFmtId="0" fontId="7" fillId="16" borderId="48" xfId="0" applyFont="1" applyFill="1" applyBorder="1"/>
    <xf numFmtId="44" fontId="16" fillId="16" borderId="48" xfId="25" applyFont="1" applyFill="1" applyBorder="1" applyAlignment="1">
      <alignment horizontal="center" vertical="center" wrapText="1"/>
    </xf>
    <xf numFmtId="0" fontId="7" fillId="16" borderId="51" xfId="7" applyFont="1" applyFill="1" applyBorder="1" applyAlignment="1">
      <alignment horizontal="center" vertical="center"/>
    </xf>
    <xf numFmtId="1" fontId="7" fillId="16" borderId="51" xfId="0" applyNumberFormat="1" applyFont="1" applyFill="1" applyBorder="1" applyAlignment="1">
      <alignment horizontal="center" vertical="center"/>
    </xf>
    <xf numFmtId="1" fontId="7" fillId="16" borderId="51" xfId="0" applyNumberFormat="1" applyFont="1" applyFill="1" applyBorder="1" applyAlignment="1">
      <alignment horizontal="left" vertical="center"/>
    </xf>
    <xf numFmtId="44" fontId="12" fillId="16" borderId="51" xfId="16" applyFont="1" applyFill="1" applyBorder="1" applyAlignment="1">
      <alignment horizontal="center" vertical="center" wrapText="1"/>
    </xf>
    <xf numFmtId="44" fontId="16" fillId="16" borderId="51" xfId="22" applyFont="1" applyFill="1" applyBorder="1" applyAlignment="1">
      <alignment horizontal="center" vertical="center" wrapText="1"/>
    </xf>
    <xf numFmtId="44" fontId="16" fillId="16" borderId="48" xfId="18" applyFont="1" applyFill="1" applyBorder="1" applyAlignment="1">
      <alignment vertical="center" wrapText="1"/>
    </xf>
    <xf numFmtId="0" fontId="7" fillId="16" borderId="48" xfId="0" applyFont="1" applyFill="1" applyBorder="1" applyAlignment="1">
      <alignment horizontal="center" vertical="center"/>
    </xf>
    <xf numFmtId="1" fontId="7" fillId="16" borderId="48" xfId="0" applyNumberFormat="1" applyFont="1" applyFill="1" applyBorder="1" applyAlignment="1" applyProtection="1">
      <alignment horizontal="center" vertical="center"/>
      <protection hidden="1"/>
    </xf>
    <xf numFmtId="0" fontId="7" fillId="16" borderId="48" xfId="0" applyFont="1" applyFill="1" applyBorder="1" applyAlignment="1">
      <alignment horizontal="left" vertical="center"/>
    </xf>
    <xf numFmtId="44" fontId="12" fillId="16" borderId="48" xfId="4" applyFont="1" applyFill="1" applyBorder="1" applyAlignment="1">
      <alignment horizontal="center" vertical="center" wrapText="1"/>
    </xf>
    <xf numFmtId="1" fontId="12" fillId="16" borderId="48" xfId="14" applyNumberFormat="1" applyFont="1" applyFill="1" applyBorder="1" applyAlignment="1" applyProtection="1">
      <alignment horizontal="center" vertical="center"/>
      <protection hidden="1"/>
    </xf>
    <xf numFmtId="0" fontId="12" fillId="16" borderId="48" xfId="26" applyFont="1" applyFill="1" applyBorder="1" applyAlignment="1" applyProtection="1">
      <alignment horizontal="left" vertical="center"/>
      <protection hidden="1"/>
    </xf>
    <xf numFmtId="1" fontId="7" fillId="16" borderId="48" xfId="0" applyNumberFormat="1" applyFont="1" applyFill="1" applyBorder="1" applyAlignment="1" applyProtection="1">
      <alignment horizontal="center" vertical="center" readingOrder="1"/>
      <protection locked="0"/>
    </xf>
    <xf numFmtId="1" fontId="7" fillId="16" borderId="48" xfId="0" applyNumberFormat="1" applyFont="1" applyFill="1" applyBorder="1" applyAlignment="1">
      <alignment horizontal="left"/>
    </xf>
    <xf numFmtId="1" fontId="12" fillId="16" borderId="48" xfId="27" applyNumberFormat="1" applyFont="1" applyFill="1" applyBorder="1" applyAlignment="1">
      <alignment horizontal="center"/>
    </xf>
    <xf numFmtId="1" fontId="12" fillId="16" borderId="49" xfId="27" applyNumberFormat="1" applyFont="1" applyFill="1" applyBorder="1" applyAlignment="1">
      <alignment horizontal="left"/>
    </xf>
    <xf numFmtId="1" fontId="14" fillId="19" borderId="48" xfId="0" applyNumberFormat="1" applyFont="1" applyFill="1" applyBorder="1" applyAlignment="1">
      <alignment horizontal="center" vertical="center"/>
    </xf>
    <xf numFmtId="0" fontId="14" fillId="0" borderId="48" xfId="0" applyFont="1" applyBorder="1" applyAlignment="1">
      <alignment horizontal="left" vertical="center" wrapText="1"/>
    </xf>
    <xf numFmtId="0" fontId="7" fillId="0" borderId="48" xfId="0" applyFont="1" applyBorder="1" applyAlignment="1">
      <alignment horizontal="left" vertical="center" wrapText="1"/>
    </xf>
    <xf numFmtId="0" fontId="19" fillId="7" borderId="48" xfId="0" applyFont="1" applyFill="1" applyBorder="1" applyAlignment="1">
      <alignment horizontal="center"/>
    </xf>
    <xf numFmtId="44" fontId="27" fillId="15" borderId="48" xfId="28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6" borderId="42" xfId="0" applyFill="1" applyBorder="1" applyAlignment="1">
      <alignment horizontal="center" vertical="center" wrapText="1"/>
    </xf>
    <xf numFmtId="0" fontId="0" fillId="6" borderId="43" xfId="0" applyFill="1" applyBorder="1" applyAlignment="1">
      <alignment horizontal="center" vertical="center" wrapText="1"/>
    </xf>
    <xf numFmtId="0" fontId="0" fillId="6" borderId="44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 wrapText="1"/>
    </xf>
    <xf numFmtId="0" fontId="0" fillId="6" borderId="32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6" borderId="27" xfId="0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0" fillId="6" borderId="29" xfId="0" applyFill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textRotation="255"/>
    </xf>
    <xf numFmtId="0" fontId="2" fillId="0" borderId="58" xfId="0" applyFont="1" applyBorder="1" applyAlignment="1">
      <alignment horizontal="center" vertical="center" textRotation="255"/>
    </xf>
    <xf numFmtId="0" fontId="2" fillId="0" borderId="59" xfId="0" applyFont="1" applyBorder="1" applyAlignment="1">
      <alignment horizontal="center" vertical="center" textRotation="255"/>
    </xf>
    <xf numFmtId="0" fontId="2" fillId="6" borderId="45" xfId="0" applyFont="1" applyFill="1" applyBorder="1" applyAlignment="1">
      <alignment horizontal="center" vertical="center" textRotation="255"/>
    </xf>
    <xf numFmtId="0" fontId="2" fillId="6" borderId="46" xfId="0" applyFont="1" applyFill="1" applyBorder="1" applyAlignment="1">
      <alignment horizontal="center" vertical="center" textRotation="255"/>
    </xf>
    <xf numFmtId="0" fontId="2" fillId="6" borderId="47" xfId="0" applyFont="1" applyFill="1" applyBorder="1" applyAlignment="1">
      <alignment horizontal="center" vertical="center" textRotation="255"/>
    </xf>
    <xf numFmtId="0" fontId="0" fillId="6" borderId="1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57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6" borderId="60" xfId="0" applyFill="1" applyBorder="1" applyAlignment="1">
      <alignment horizontal="center" vertical="center" wrapText="1"/>
    </xf>
    <xf numFmtId="0" fontId="0" fillId="6" borderId="61" xfId="0" applyFill="1" applyBorder="1" applyAlignment="1">
      <alignment horizontal="center" vertical="center" wrapText="1"/>
    </xf>
    <xf numFmtId="0" fontId="0" fillId="6" borderId="63" xfId="0" applyFill="1" applyBorder="1" applyAlignment="1">
      <alignment horizontal="center" vertical="center" wrapText="1"/>
    </xf>
    <xf numFmtId="0" fontId="0" fillId="6" borderId="64" xfId="0" applyFill="1" applyBorder="1" applyAlignment="1">
      <alignment horizontal="center" vertical="center" wrapText="1"/>
    </xf>
    <xf numFmtId="0" fontId="0" fillId="8" borderId="61" xfId="0" applyFill="1" applyBorder="1" applyAlignment="1">
      <alignment horizontal="center" vertical="center" wrapText="1"/>
    </xf>
    <xf numFmtId="0" fontId="0" fillId="8" borderId="62" xfId="0" applyFill="1" applyBorder="1" applyAlignment="1">
      <alignment horizontal="center" vertical="center" wrapText="1"/>
    </xf>
    <xf numFmtId="0" fontId="0" fillId="8" borderId="64" xfId="0" applyFill="1" applyBorder="1" applyAlignment="1">
      <alignment horizontal="center" vertical="center" wrapText="1"/>
    </xf>
    <xf numFmtId="0" fontId="0" fillId="8" borderId="65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0" fillId="8" borderId="1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20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8" borderId="21" xfId="0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 wrapText="1"/>
    </xf>
    <xf numFmtId="0" fontId="0" fillId="8" borderId="23" xfId="0" applyFill="1" applyBorder="1" applyAlignment="1">
      <alignment horizontal="center" vertical="center" wrapText="1"/>
    </xf>
    <xf numFmtId="0" fontId="0" fillId="8" borderId="17" xfId="0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28" xfId="0" applyFill="1" applyBorder="1" applyAlignment="1">
      <alignment horizontal="center" vertical="center" wrapText="1"/>
    </xf>
    <xf numFmtId="0" fontId="0" fillId="8" borderId="29" xfId="0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 wrapText="1"/>
    </xf>
    <xf numFmtId="0" fontId="0" fillId="6" borderId="37" xfId="0" applyFill="1" applyBorder="1" applyAlignment="1">
      <alignment horizontal="center" vertical="center" wrapText="1"/>
    </xf>
    <xf numFmtId="0" fontId="0" fillId="6" borderId="38" xfId="0" applyFill="1" applyBorder="1" applyAlignment="1">
      <alignment horizontal="center" vertical="center" wrapText="1"/>
    </xf>
    <xf numFmtId="0" fontId="10" fillId="4" borderId="50" xfId="0" applyFont="1" applyFill="1" applyBorder="1" applyAlignment="1">
      <alignment horizontal="center" vertical="center"/>
    </xf>
    <xf numFmtId="1" fontId="12" fillId="16" borderId="50" xfId="0" applyNumberFormat="1" applyFont="1" applyFill="1" applyBorder="1" applyAlignment="1">
      <alignment horizontal="left"/>
    </xf>
    <xf numFmtId="1" fontId="12" fillId="0" borderId="50" xfId="0" applyNumberFormat="1" applyFont="1" applyBorder="1" applyAlignment="1">
      <alignment horizontal="left"/>
    </xf>
    <xf numFmtId="1" fontId="12" fillId="9" borderId="50" xfId="0" applyNumberFormat="1" applyFont="1" applyFill="1" applyBorder="1" applyAlignment="1">
      <alignment horizontal="left"/>
    </xf>
    <xf numFmtId="0" fontId="12" fillId="16" borderId="76" xfId="0" applyFont="1" applyFill="1" applyBorder="1" applyAlignment="1">
      <alignment horizontal="left" vertical="top"/>
    </xf>
    <xf numFmtId="0" fontId="12" fillId="16" borderId="0" xfId="0" applyFont="1" applyFill="1" applyBorder="1" applyAlignment="1">
      <alignment horizontal="left" vertical="top"/>
    </xf>
    <xf numFmtId="0" fontId="12" fillId="16" borderId="55" xfId="0" applyFont="1" applyFill="1" applyBorder="1" applyAlignment="1">
      <alignment horizontal="left" vertical="top"/>
    </xf>
    <xf numFmtId="1" fontId="12" fillId="0" borderId="50" xfId="0" applyNumberFormat="1" applyFont="1" applyBorder="1"/>
    <xf numFmtId="1" fontId="7" fillId="16" borderId="50" xfId="0" applyNumberFormat="1" applyFont="1" applyFill="1" applyBorder="1" applyAlignment="1">
      <alignment horizontal="left" vertical="center"/>
    </xf>
    <xf numFmtId="1" fontId="7" fillId="16" borderId="50" xfId="0" applyNumberFormat="1" applyFont="1" applyFill="1" applyBorder="1" applyAlignment="1">
      <alignment horizontal="left"/>
    </xf>
    <xf numFmtId="0" fontId="7" fillId="16" borderId="50" xfId="0" applyFont="1" applyFill="1" applyBorder="1" applyAlignment="1">
      <alignment horizontal="left" vertical="center"/>
    </xf>
    <xf numFmtId="1" fontId="7" fillId="9" borderId="50" xfId="0" applyNumberFormat="1" applyFont="1" applyFill="1" applyBorder="1" applyAlignment="1">
      <alignment horizontal="left" vertical="center"/>
    </xf>
    <xf numFmtId="1" fontId="7" fillId="0" borderId="50" xfId="0" applyNumberFormat="1" applyFont="1" applyBorder="1" applyAlignment="1">
      <alignment horizontal="left" vertical="center"/>
    </xf>
    <xf numFmtId="1" fontId="7" fillId="16" borderId="50" xfId="2" applyNumberFormat="1" applyFont="1" applyFill="1" applyBorder="1" applyAlignment="1">
      <alignment vertical="center"/>
    </xf>
    <xf numFmtId="1" fontId="12" fillId="16" borderId="50" xfId="27" applyNumberFormat="1" applyFont="1" applyFill="1" applyBorder="1" applyAlignment="1">
      <alignment horizontal="left"/>
    </xf>
    <xf numFmtId="0" fontId="7" fillId="16" borderId="50" xfId="0" applyFont="1" applyFill="1" applyBorder="1"/>
    <xf numFmtId="0" fontId="25" fillId="16" borderId="50" xfId="0" applyFont="1" applyFill="1" applyBorder="1"/>
    <xf numFmtId="0" fontId="14" fillId="17" borderId="50" xfId="0" applyFont="1" applyFill="1" applyBorder="1"/>
    <xf numFmtId="0" fontId="7" fillId="16" borderId="76" xfId="0" applyFont="1" applyFill="1" applyBorder="1" applyAlignment="1">
      <alignment horizontal="left" vertical="center"/>
    </xf>
    <xf numFmtId="0" fontId="7" fillId="16" borderId="0" xfId="0" applyFont="1" applyFill="1" applyBorder="1" applyAlignment="1">
      <alignment horizontal="left" vertical="center"/>
    </xf>
    <xf numFmtId="0" fontId="7" fillId="16" borderId="55" xfId="0" applyFont="1" applyFill="1" applyBorder="1" applyAlignment="1">
      <alignment horizontal="left" vertical="center"/>
    </xf>
    <xf numFmtId="0" fontId="14" fillId="16" borderId="51" xfId="0" applyFont="1" applyFill="1" applyBorder="1" applyAlignment="1">
      <alignment vertical="center" wrapText="1"/>
    </xf>
    <xf numFmtId="0" fontId="14" fillId="16" borderId="53" xfId="0" applyFont="1" applyFill="1" applyBorder="1" applyAlignment="1">
      <alignment vertical="center" wrapText="1"/>
    </xf>
    <xf numFmtId="0" fontId="14" fillId="16" borderId="54" xfId="0" applyFont="1" applyFill="1" applyBorder="1" applyAlignment="1">
      <alignment vertical="center" wrapText="1"/>
    </xf>
    <xf numFmtId="44" fontId="7" fillId="16" borderId="51" xfId="1" applyFont="1" applyFill="1" applyBorder="1" applyAlignment="1" applyProtection="1">
      <alignment vertical="center" wrapText="1" readingOrder="1"/>
      <protection locked="0"/>
    </xf>
    <xf numFmtId="44" fontId="7" fillId="16" borderId="53" xfId="1" applyFont="1" applyFill="1" applyBorder="1" applyAlignment="1" applyProtection="1">
      <alignment vertical="center" wrapText="1" readingOrder="1"/>
      <protection locked="0"/>
    </xf>
    <xf numFmtId="44" fontId="7" fillId="16" borderId="54" xfId="1" applyFont="1" applyFill="1" applyBorder="1" applyAlignment="1" applyProtection="1">
      <alignment vertical="center" wrapText="1" readingOrder="1"/>
      <protection locked="0"/>
    </xf>
    <xf numFmtId="0" fontId="14" fillId="16" borderId="51" xfId="0" applyFont="1" applyFill="1" applyBorder="1" applyAlignment="1">
      <alignment vertical="center"/>
    </xf>
    <xf numFmtId="0" fontId="14" fillId="16" borderId="53" xfId="0" applyFont="1" applyFill="1" applyBorder="1" applyAlignment="1">
      <alignment vertical="center"/>
    </xf>
    <xf numFmtId="0" fontId="14" fillId="16" borderId="54" xfId="0" applyFont="1" applyFill="1" applyBorder="1" applyAlignment="1">
      <alignment vertical="center"/>
    </xf>
    <xf numFmtId="0" fontId="9" fillId="3" borderId="49" xfId="0" applyFont="1" applyFill="1" applyBorder="1" applyAlignment="1">
      <alignment vertical="center"/>
    </xf>
    <xf numFmtId="0" fontId="9" fillId="3" borderId="50" xfId="0" applyFont="1" applyFill="1" applyBorder="1" applyAlignment="1">
      <alignment vertical="center"/>
    </xf>
    <xf numFmtId="0" fontId="9" fillId="3" borderId="52" xfId="0" applyFont="1" applyFill="1" applyBorder="1" applyAlignment="1">
      <alignment vertical="center"/>
    </xf>
    <xf numFmtId="0" fontId="5" fillId="0" borderId="55" xfId="0" applyFont="1" applyBorder="1" applyAlignment="1"/>
    <xf numFmtId="0" fontId="19" fillId="7" borderId="49" xfId="0" applyFont="1" applyFill="1" applyBorder="1" applyAlignment="1"/>
    <xf numFmtId="0" fontId="19" fillId="7" borderId="50" xfId="0" applyFont="1" applyFill="1" applyBorder="1" applyAlignment="1"/>
    <xf numFmtId="0" fontId="19" fillId="7" borderId="52" xfId="0" applyFont="1" applyFill="1" applyBorder="1" applyAlignment="1"/>
    <xf numFmtId="0" fontId="22" fillId="16" borderId="51" xfId="7" applyFont="1" applyFill="1" applyBorder="1" applyAlignment="1">
      <alignment vertical="center" wrapText="1"/>
    </xf>
    <xf numFmtId="0" fontId="22" fillId="16" borderId="53" xfId="7" applyFont="1" applyFill="1" applyBorder="1" applyAlignment="1">
      <alignment vertical="center" wrapText="1"/>
    </xf>
    <xf numFmtId="0" fontId="22" fillId="16" borderId="54" xfId="7" applyFont="1" applyFill="1" applyBorder="1" applyAlignment="1">
      <alignment vertical="center" wrapText="1"/>
    </xf>
    <xf numFmtId="44" fontId="7" fillId="0" borderId="51" xfId="1" applyFont="1" applyFill="1" applyBorder="1" applyAlignment="1" applyProtection="1">
      <alignment vertical="center" wrapText="1" readingOrder="1"/>
      <protection locked="0"/>
    </xf>
    <xf numFmtId="44" fontId="7" fillId="0" borderId="53" xfId="1" applyFont="1" applyFill="1" applyBorder="1" applyAlignment="1" applyProtection="1">
      <alignment vertical="center" wrapText="1" readingOrder="1"/>
      <protection locked="0"/>
    </xf>
    <xf numFmtId="44" fontId="7" fillId="0" borderId="54" xfId="1" applyFont="1" applyFill="1" applyBorder="1" applyAlignment="1" applyProtection="1">
      <alignment vertical="center" wrapText="1" readingOrder="1"/>
      <protection locked="0"/>
    </xf>
    <xf numFmtId="1" fontId="7" fillId="16" borderId="51" xfId="0" applyNumberFormat="1" applyFont="1" applyFill="1" applyBorder="1" applyAlignment="1" applyProtection="1">
      <alignment vertical="center" wrapText="1" readingOrder="1"/>
      <protection locked="0"/>
    </xf>
    <xf numFmtId="1" fontId="7" fillId="16" borderId="53" xfId="0" applyNumberFormat="1" applyFont="1" applyFill="1" applyBorder="1" applyAlignment="1" applyProtection="1">
      <alignment vertical="center" wrapText="1" readingOrder="1"/>
      <protection locked="0"/>
    </xf>
    <xf numFmtId="1" fontId="7" fillId="16" borderId="54" xfId="0" applyNumberFormat="1" applyFont="1" applyFill="1" applyBorder="1" applyAlignment="1" applyProtection="1">
      <alignment vertical="center" wrapText="1" readingOrder="1"/>
      <protection locked="0"/>
    </xf>
    <xf numFmtId="1" fontId="7" fillId="9" borderId="51" xfId="0" applyNumberFormat="1" applyFont="1" applyFill="1" applyBorder="1" applyAlignment="1" applyProtection="1">
      <alignment vertical="center" wrapText="1" readingOrder="1"/>
      <protection locked="0"/>
    </xf>
    <xf numFmtId="1" fontId="7" fillId="9" borderId="53" xfId="0" applyNumberFormat="1" applyFont="1" applyFill="1" applyBorder="1" applyAlignment="1" applyProtection="1">
      <alignment vertical="center" wrapText="1" readingOrder="1"/>
      <protection locked="0"/>
    </xf>
    <xf numFmtId="1" fontId="7" fillId="9" borderId="54" xfId="0" applyNumberFormat="1" applyFont="1" applyFill="1" applyBorder="1" applyAlignment="1" applyProtection="1">
      <alignment vertical="center" wrapText="1" readingOrder="1"/>
      <protection locked="0"/>
    </xf>
    <xf numFmtId="44" fontId="7" fillId="9" borderId="51" xfId="1" applyFont="1" applyFill="1" applyBorder="1" applyAlignment="1" applyProtection="1">
      <alignment vertical="center" wrapText="1" readingOrder="1"/>
      <protection locked="0"/>
    </xf>
    <xf numFmtId="44" fontId="7" fillId="9" borderId="54" xfId="1" applyFont="1" applyFill="1" applyBorder="1" applyAlignment="1" applyProtection="1">
      <alignment vertical="center" wrapText="1" readingOrder="1"/>
      <protection locked="0"/>
    </xf>
  </cellXfs>
  <cellStyles count="29">
    <cellStyle name="Moeda" xfId="1" builtinId="4"/>
    <cellStyle name="Moeda 10 10 3" xfId="4" xr:uid="{1B367EB6-F4B2-4A4E-AC61-40BF7ADADBDA}"/>
    <cellStyle name="Moeda 10 10 3 14" xfId="20" xr:uid="{2E2E2945-EF46-4F4E-87E3-853C89A95444}"/>
    <cellStyle name="Moeda 10 10 3 2 2 2" xfId="23" xr:uid="{11AA8D57-CD2D-4D40-AA5F-3C4FE79D47DB}"/>
    <cellStyle name="Moeda 10 10 3 2 2 2 2" xfId="24" xr:uid="{C01D09CE-29FA-4BF8-AFE3-37E71832D9EB}"/>
    <cellStyle name="Moeda 10 10 3 2 3 2 2" xfId="16" xr:uid="{B40E8D9D-6420-47AE-879E-51F93C383E6D}"/>
    <cellStyle name="Moeda 10 10 3 6" xfId="12" xr:uid="{E4D1061B-30AA-4482-94BD-688F9E5441C4}"/>
    <cellStyle name="Moeda 11" xfId="28" xr:uid="{2F1112CA-90E2-414D-A28C-B64C6263C8BE}"/>
    <cellStyle name="Moeda 14" xfId="9" xr:uid="{C6EEE00E-4601-473E-B1A1-5F117E428E0D}"/>
    <cellStyle name="Moeda 15" xfId="19" xr:uid="{170ACA0E-2C72-4366-8EC1-05EEF21B4964}"/>
    <cellStyle name="Moeda 2" xfId="3" xr:uid="{58BA63B2-CFF9-4347-A884-AC78F0752B61}"/>
    <cellStyle name="Moeda 2 10 2 2 2 2 2 2 2 2" xfId="17" xr:uid="{B6F2EE0F-EFEE-495D-87B2-6F3E49E443A6}"/>
    <cellStyle name="Moeda 2 10 2 2 2 2 2 2 2 2 2" xfId="25" xr:uid="{F1BC7A4E-AE16-4C20-9396-A0FD8BE5E04F}"/>
    <cellStyle name="Moeda 2 10 2 2 2 2 2 2 3 2 2" xfId="22" xr:uid="{75CB36ED-3DB5-4457-978D-72A34A2735DA}"/>
    <cellStyle name="Moeda 2 12" xfId="10" xr:uid="{5719AFC7-7FB2-4272-BF7A-A637C34C0A7A}"/>
    <cellStyle name="Moeda 2 13 13" xfId="21" xr:uid="{20564580-5DB3-42B7-AB1A-341328FCF07E}"/>
    <cellStyle name="Moeda 2 13 2 2 2" xfId="18" xr:uid="{269AA58A-6EB2-490F-B743-B4F6C71A2E1C}"/>
    <cellStyle name="Moeda 2 13 6" xfId="13" xr:uid="{A4FC243D-B6AE-47E3-8139-9AE40F95A812}"/>
    <cellStyle name="Moeda 2 2" xfId="5" xr:uid="{C01B2575-A2DB-4D60-8EA9-5BC548954F49}"/>
    <cellStyle name="Moeda 2 6" xfId="15" xr:uid="{BC839DDC-837B-487E-94D2-9339D45A67D5}"/>
    <cellStyle name="Moeda 7" xfId="11" xr:uid="{BFE52C4E-3EC8-48FD-9F6E-3FE1452DE7C7}"/>
    <cellStyle name="Normal" xfId="0" builtinId="0"/>
    <cellStyle name="Normal 12 2" xfId="8" xr:uid="{119FFCCE-990F-40EB-A2C3-01863FB4C359}"/>
    <cellStyle name="Normal 2" xfId="27" xr:uid="{8ED09B51-4A3D-4408-B5ED-D570FE6C56C9}"/>
    <cellStyle name="Normal 3" xfId="7" xr:uid="{DE53FA93-25BE-49CF-9CEB-80F0BC0E51E3}"/>
    <cellStyle name="Normal 6 2" xfId="26" xr:uid="{9BE25476-EE05-4AED-956B-3E592BEBB720}"/>
    <cellStyle name="Normal 8" xfId="14" xr:uid="{FCD635BA-406E-41B9-A567-A4E74E0626C0}"/>
    <cellStyle name="Porcentagem 2" xfId="6" xr:uid="{68E3EE49-F18D-4116-88D7-BE9977762262}"/>
    <cellStyle name="Vírgula" xfId="2" builtinId="3"/>
  </cellStyles>
  <dxfs count="2"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6699"/>
      <color rgb="FFF6C5AC"/>
      <color rgb="FFF3AF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2840B20-CF0A-4F49-B9BC-D8D6D1CFDFA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110488</xdr:rowOff>
    </xdr:to>
    <xdr:sp macro="" textlink="">
      <xdr:nvSpPr>
        <xdr:cNvPr id="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D72DC4F-F301-411B-AEE6-3B1A24A00D4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200885A-7CBF-455D-9D47-2EBC2C5501E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A3BC313-7C6A-4577-A9CA-4E39566A327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110488</xdr:rowOff>
    </xdr:to>
    <xdr:sp macro="" textlink="">
      <xdr:nvSpPr>
        <xdr:cNvPr id="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D57ADA-D7C0-4303-ACB0-80DFC4FFA62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3522AA8-7D6C-408E-A6F6-59774BB7677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131D4B2-86CF-4A59-88C6-2F1C86C1B70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C4479B-8E6A-4E8A-8DFD-A8ED2D1B49E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C9F9A7-F235-4937-A44A-F32A37D46FD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699C5BA-FE83-4C77-8846-D729037E17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2DAFC1A-FA57-43DB-A87D-4A96634446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A937BEF-DAF4-4510-9FB5-8A56642CC26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FAEF27-58F3-4159-BC24-6B7307F0722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A66969A-EEA9-4EF2-A808-4F20CC5A8C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C7359FF-D02D-4553-9DB0-AE432DF033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CB6E75D-E06B-426D-A048-908F043FCD3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E7B22B0-990D-4945-AA0F-B3C612F08E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43DFD83-A682-49B7-8954-A3A802CA873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F3490E8-6ABA-421B-9073-6016C5F5339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490E381-8404-4ECA-B2C4-52515DD195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168BB5-DAB2-4076-9C69-6325DD258EC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655508A-2675-4F83-8CA7-C2ADFC681DE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B94979A-3ECD-4044-B202-C8515DE0B8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BCA8A00-2366-41FA-BE92-66B63CA7075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686E01F-1586-4763-B251-824DF8EB184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C9FF26F-1260-4C6D-B3A6-EFAC4BBA247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747E6A5-C9D8-4591-B48C-02E7C7CFC15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74BA1C7-281C-4003-A4EA-38799235508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4973C31-1C3C-4278-8BC7-D85CFCF492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1E57756-83C7-4073-8130-0416A118AB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8A9E29D-C8B4-4925-9FEE-ACD2D57DCE5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1018B38-D150-4DE1-B96A-C3681DDED83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99D482A-1F80-47A9-86F6-7E5B641E3C1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FA71642-34FB-45C2-8976-41C616D98BB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5B694B3-0BE1-46F2-8BD5-23026EC479D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B641FF-B404-4BE9-A992-2F7FD6E13FF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44FAA29-9F3C-40C0-85AC-8166DBDC2D8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71993</xdr:rowOff>
    </xdr:to>
    <xdr:sp macro="" textlink="">
      <xdr:nvSpPr>
        <xdr:cNvPr id="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16C24F3-BA8A-404B-BDDF-4C6D0E8E32C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109973</xdr:rowOff>
    </xdr:to>
    <xdr:sp macro="" textlink="">
      <xdr:nvSpPr>
        <xdr:cNvPr id="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32EC11C-5C3B-40C0-BE07-CE836CB56F7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110093</xdr:rowOff>
    </xdr:to>
    <xdr:sp macro="" textlink="">
      <xdr:nvSpPr>
        <xdr:cNvPr id="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2AA801F-9E91-49AD-85BC-E727DBA242E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87BD06A-9050-4E54-B415-0377DCBE967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364DD2-3237-4702-B827-A5BBD5D4E50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F8E704A-A4D5-4C74-B213-30195B41F4A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A6899A7-1844-4251-BAC6-E3AAA06DD4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B037D6A-F6F7-4BDB-81BF-8AB44040150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CD48008-E154-4BD7-947E-6DE01ECEF3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5680598-701C-46DE-AE88-D264BF1137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E126E5C-DB47-4E92-9631-70EAE8FF7D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18CD75-032A-4AE0-BD3E-4F2805F5DA1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EE7FCB6-53A2-45A9-8710-7F4E6F5FD46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110093</xdr:rowOff>
    </xdr:to>
    <xdr:sp macro="" textlink="">
      <xdr:nvSpPr>
        <xdr:cNvPr id="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2ECEE04-39FF-4966-ADCE-3D1020E749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EF67D9-F5D4-4026-9C89-5B0C9BECA59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9E261EB-F4DA-42B2-92FC-2EC6943066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AF4EED7-D6DB-4570-A449-910BAC0347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E3007A6-1408-4DA1-9657-5AFCFDFC2E6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75BBF8B-9364-4ABA-BEA7-66CDC9B38A7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7763C9B-82AE-431F-B4F9-D8205774644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8452DD1-75B5-4831-9397-D2A7796103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110093</xdr:rowOff>
    </xdr:to>
    <xdr:sp macro="" textlink="">
      <xdr:nvSpPr>
        <xdr:cNvPr id="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6F96976-3681-47AD-B604-68129743B79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C1762A-8DE7-4345-9574-2CA560CD689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5BAC296-A7A9-4279-837E-3C8F0758D68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7557226-BD27-429E-A361-B4BDCEF4BF0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E39131-2A9C-4C94-B204-9FD43544BDA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8CF126-612F-464B-B0CA-4E0E15EEEB9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28917C7-B96E-4C41-A27A-431C9B44C80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7DD161-7971-4E1E-97AB-2F257CC6B89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3D3F703-4DFB-4A95-80FE-0925D51931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19FBEA-6368-4D1F-82FB-2748BB5AC77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18DA36C-3D36-49D7-9411-39ABB02D905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160928-116B-405F-BC9B-CCDA9156402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6D4BB71-92B2-4122-A3A3-B532C848B08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D6D0878-3798-45F1-9C59-0D587CDFC11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D675320-C20B-4A96-B0DF-B7058F21A6D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9FF8D6-B33B-4BE3-94A6-7816B649BD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0934E7-F4AC-4E8F-9845-B550F061324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C3603AD-81A4-4C3E-9AA7-5B91DC6A252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149314</xdr:rowOff>
    </xdr:to>
    <xdr:sp macro="" textlink="">
      <xdr:nvSpPr>
        <xdr:cNvPr id="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8670CF-977F-4B1E-A88B-5A6DA2D8518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47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5BE67C-D1A3-41C5-8838-9FEA38AF540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B72E90-10E8-4F31-93EC-0AFF3140CE4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607ABF3-0884-4052-9ADB-3BD72F4C287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795B4F1-C934-4689-9524-FEC8775843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52F362-D70E-4AC7-B003-6E32E65331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554F757-E6BA-4CD7-97E8-E11D75E40B3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68B0559-3CF0-491B-9208-586273F836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656AFAD-2D0E-47A9-8E70-0670F8D765F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FD964A-6F63-47E0-BB86-8E0446D380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7C9B70C-27B1-474E-8D89-B0A83A1B1EA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EC5E4E-7B9D-4E52-B18D-751F93EAEF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89C3717-A374-4C0E-8B9A-1BC7A81A4A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24580CC-363A-4FB4-A619-E9EFC561259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EC54940-E576-4218-B7E9-573D3880304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A782993-BA93-45AE-B655-FFE76288FD7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E4895A4-D971-4313-88F0-C4601D428E0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AB2BD3C-99E9-4CB9-B47D-3C59EC760A8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8745818-F61E-4AF7-A322-8A3862058E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76B061-58F1-4C1C-B255-FC9EC77ECC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A404754-12CB-49EC-A2E3-C38C7EC0FCD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13ACC9C-6ED9-432D-86D1-ADDD2DCB2AE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1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A1E88F8-8A12-4DF3-822A-D0FDE75F49F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1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06D4947-AACE-4614-A17E-7CFDD024ECB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71753</xdr:rowOff>
    </xdr:to>
    <xdr:sp macro="" textlink="">
      <xdr:nvSpPr>
        <xdr:cNvPr id="1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45E934-8A79-4A78-8507-5A109A6B3C7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71753</xdr:rowOff>
    </xdr:to>
    <xdr:sp macro="" textlink="">
      <xdr:nvSpPr>
        <xdr:cNvPr id="1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3569ED2-E725-467B-A59E-C6CF5C2644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71753</xdr:rowOff>
    </xdr:to>
    <xdr:sp macro="" textlink="">
      <xdr:nvSpPr>
        <xdr:cNvPr id="1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AA761B4-1FE8-4580-97B7-C8BFC9795D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34924</xdr:rowOff>
    </xdr:to>
    <xdr:sp macro="" textlink="">
      <xdr:nvSpPr>
        <xdr:cNvPr id="1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2A5D5E-351F-4A8E-981A-188CA6D554A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34924</xdr:rowOff>
    </xdr:to>
    <xdr:sp macro="" textlink="">
      <xdr:nvSpPr>
        <xdr:cNvPr id="1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3F521CD-9842-419B-BCF4-6E934FA8D67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34289</xdr:rowOff>
    </xdr:to>
    <xdr:sp macro="" textlink="">
      <xdr:nvSpPr>
        <xdr:cNvPr id="1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83955D0-17D7-4D8B-9768-A14FFF95934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72389</xdr:rowOff>
    </xdr:to>
    <xdr:sp macro="" textlink="">
      <xdr:nvSpPr>
        <xdr:cNvPr id="1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970CB0E-D85A-4EE4-929B-48BA2BFF59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34289</xdr:rowOff>
    </xdr:to>
    <xdr:sp macro="" textlink="">
      <xdr:nvSpPr>
        <xdr:cNvPr id="1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B57D324-C2B8-42E5-BD0E-C7BBCCDE54F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1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78B13C9-5516-4476-91C6-A184D6B3D3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1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107A4B9-8F06-4276-882A-B1A06328C4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1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E487BA-7D40-4F7F-8E10-66E31D106B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1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67C5272-5892-4224-9FB7-3E5AE662AD8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1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01BFFA1-5D47-4A85-BEA4-F58D5D54DFC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1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3E05BD-466D-416F-A52F-18133C7B729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34924</xdr:rowOff>
    </xdr:to>
    <xdr:sp macro="" textlink="">
      <xdr:nvSpPr>
        <xdr:cNvPr id="1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B7EE29-1E67-48F9-A1C8-9BE3010CC79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34924</xdr:rowOff>
    </xdr:to>
    <xdr:sp macro="" textlink="">
      <xdr:nvSpPr>
        <xdr:cNvPr id="1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310E262-D9D3-4785-ABAB-3C9BB3BDEC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34289</xdr:rowOff>
    </xdr:to>
    <xdr:sp macro="" textlink="">
      <xdr:nvSpPr>
        <xdr:cNvPr id="1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C55E26-DB58-4D81-A98F-1BDF3E23409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72389</xdr:rowOff>
    </xdr:to>
    <xdr:sp macro="" textlink="">
      <xdr:nvSpPr>
        <xdr:cNvPr id="1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8AB8FB4-B100-46F4-98CB-54EF254087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34289</xdr:rowOff>
    </xdr:to>
    <xdr:sp macro="" textlink="">
      <xdr:nvSpPr>
        <xdr:cNvPr id="1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2066BAD-C2FE-4E9B-855A-5BAF9151810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1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CE7E7C-7F8B-4A6A-B726-BE3DA3C3647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1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14AFE30-328A-40D3-BC08-7A925542166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1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713A8B7-0A9A-4B38-915C-2AE42E7C14B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1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97FCC2-AAA4-42AF-8686-3CA70EB1F68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1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74F2F4D-A1A6-4EBA-BC0B-DC27E71FB4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1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06C22A0-4F10-41AC-A1FD-398F70586C5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71965</xdr:rowOff>
    </xdr:to>
    <xdr:sp macro="" textlink="">
      <xdr:nvSpPr>
        <xdr:cNvPr id="1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ED8D3B8-F013-4817-940B-7A03D79CD92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73235</xdr:rowOff>
    </xdr:to>
    <xdr:sp macro="" textlink="">
      <xdr:nvSpPr>
        <xdr:cNvPr id="1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22E9E4D-6287-41A4-958E-7058C2C2E9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71965</xdr:rowOff>
    </xdr:to>
    <xdr:sp macro="" textlink="">
      <xdr:nvSpPr>
        <xdr:cNvPr id="1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1874A6-F9F1-4F97-96E6-A0590383CD6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186D7C-7CE9-47CA-91EB-4CDD0D1D75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3B1242F-E827-4AD3-B563-AAC6612926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81D749-616B-4BDF-8EDC-43589D461C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89E4F8-941C-43EA-8A4F-EE6B42DD1E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2F17E0C-ECCD-47A9-BFC7-92C7587FFFE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4493C8-D388-4339-B8D4-6F9A60A935C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DE2164F-8A26-422C-B0F1-5293B261B9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14C6B9E-BAC7-4CB0-873F-15BF71138BF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38B46CC-EFC5-422A-8ABD-087B0EDD01D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3491952-71FA-43ED-BF01-8F54D481C6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71965</xdr:rowOff>
    </xdr:to>
    <xdr:sp macro="" textlink="">
      <xdr:nvSpPr>
        <xdr:cNvPr id="1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6D0366D-D355-4212-A526-F837953078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E7597D3-AEBC-4BEB-BBB1-12B628C5DBD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A54DC48-4FC2-4096-89A8-8A18CF53182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3B95D53-8434-4A56-B966-FE8A56E2B0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15BC47F-0F49-496D-9A7C-59624B6C4F3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A046E59-2FFA-44B8-AC2E-6637AEC034F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9B72B3E-292F-4167-A5D9-51DF7D66033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CC23784-BAE2-4FB4-BA80-C06F7859778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71965</xdr:rowOff>
    </xdr:to>
    <xdr:sp macro="" textlink="">
      <xdr:nvSpPr>
        <xdr:cNvPr id="1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30AE144-97B9-4366-9E3A-75BC26CF361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3E7E66E-12EA-4851-A829-D7E2E935A9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7802C31-23ED-4FC7-9B6D-36246780E3D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BC87924-540F-4F0D-866D-7382949BC2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E7AE788-E345-4DCA-942A-31CE1239D85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E93137B-0585-4A55-A0C8-453EF95AF94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57A186-A4BF-49D8-859C-C10900D59C7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01F1A82-9F1C-4FFD-8CEF-0A84D67762C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72600</xdr:rowOff>
    </xdr:to>
    <xdr:sp macro="" textlink="">
      <xdr:nvSpPr>
        <xdr:cNvPr id="1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FC05DC2-3D36-4255-82BD-41431222970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72600</xdr:rowOff>
    </xdr:to>
    <xdr:sp macro="" textlink="">
      <xdr:nvSpPr>
        <xdr:cNvPr id="1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F96765-06A6-4804-86B8-B9FDDE0062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71965</xdr:rowOff>
    </xdr:to>
    <xdr:sp macro="" textlink="">
      <xdr:nvSpPr>
        <xdr:cNvPr id="1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C8437E8-2E95-4AB3-81CD-783CB79AA85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71965</xdr:rowOff>
    </xdr:to>
    <xdr:sp macro="" textlink="">
      <xdr:nvSpPr>
        <xdr:cNvPr id="1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C326D23-95E3-42E1-8850-7011B5CC5FF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71965</xdr:rowOff>
    </xdr:to>
    <xdr:sp macro="" textlink="">
      <xdr:nvSpPr>
        <xdr:cNvPr id="1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3B994E5-B106-4813-9863-7E62A625EB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F35C27E-5CE6-44C7-8FBE-95216CAD67A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0EF8B51-F9EB-4165-8121-149214E4D9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E49DC54-3799-459D-A833-6A742B409D4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7816FD2-DE35-4B3F-A3DA-53565104625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F7B6394-30C4-4D18-904A-36DB7F59CD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6A0B9F5-ED20-4070-BA0E-ECC1194F28F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9541585-1F09-458D-85F1-E4D1F2B10B1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8B3DEA-AC59-4B06-A684-1DECC52BB0F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911F2C-4362-45E0-90FA-7B1FF3FC29F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07C9710-AB4D-4DDA-A226-638520313C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E20DF7E-8024-4D19-A59A-BA61CC84EB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F67CA73-2F75-41EE-9EB4-99FF1D019E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6CB6D17-74A4-4C83-8A48-E867D0B221E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78FC16-C84E-4E1E-A82C-167D9ACBD26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FE4E61F-A94F-4368-B59D-C1341B6C024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C59A19F-3937-4218-B186-5B9DE4C8E02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72599</xdr:rowOff>
    </xdr:to>
    <xdr:sp macro="" textlink="">
      <xdr:nvSpPr>
        <xdr:cNvPr id="1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152A91-7E6D-4527-8331-6349F9F8128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72599</xdr:rowOff>
    </xdr:to>
    <xdr:sp macro="" textlink="">
      <xdr:nvSpPr>
        <xdr:cNvPr id="1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9FC3A75-728D-44D2-A8C0-21CBC11B599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72599</xdr:rowOff>
    </xdr:to>
    <xdr:sp macro="" textlink="">
      <xdr:nvSpPr>
        <xdr:cNvPr id="1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08C6655-9877-471E-AC53-5FDE9779E02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6824A5-7BA3-48F5-92F3-2F30823A089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F0C4D3-5AC1-4842-AB1D-31D46A69CBC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5CA5F2E-767D-42FB-A30A-ADFE5E57CDE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2AA8CCA-2D8F-434A-A5F7-807641F65C0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0DBAA50-4E3E-4C54-8B95-74886FB5636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70D2D4F-832F-4D0B-855F-1EEF874B35F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2490355-9DCF-439A-8C94-8060E2BDBA8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50D8934-EBDE-4C36-9756-E171D66CB49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558D3F1-8803-404D-879A-B397E935F9E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1195A3-4BD9-414C-B443-34A861FB194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72599</xdr:rowOff>
    </xdr:to>
    <xdr:sp macro="" textlink="">
      <xdr:nvSpPr>
        <xdr:cNvPr id="1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5C7D838-78B0-4696-80BF-2F7B961A0EA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8EE209-114C-4CE8-902F-519A67A8566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D140C1-ABB8-47C9-9CC0-4BFFC9483A2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3487F5C-77B7-498A-BD78-02510779204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47BF40E-DE50-48FF-BB52-E4C4054A638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388327-70B9-4A04-AD5E-4313B9404E6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6B44AE3-74BA-4167-9296-526FD17E3B3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20242A-E327-40D1-B211-99C2F565321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72599</xdr:rowOff>
    </xdr:to>
    <xdr:sp macro="" textlink="">
      <xdr:nvSpPr>
        <xdr:cNvPr id="1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E2F612D-A9D0-4705-8993-6916F83890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AF7FCD8-DDD9-4834-995C-1FA4BCC92A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80EAF19-A021-44B3-8995-BDFDFC9CB8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1E0D238-4D4C-440F-92C2-AA2EA264872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749896-E788-4C62-BCA7-08BDE8EA9E6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B62BD66-B391-4EE9-BB1F-01AAFFA7A40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6B6F842-E4B0-4475-8EEE-01691184275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291A369-0AC1-431D-B2EB-06835D6E48A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2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C9F18D5-D016-43CD-881F-180AA69FF48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2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DBE7942-7280-4656-B2D4-ECF31DF633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2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3873697-C3A1-4B39-9DED-C8D247E235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D445624-476B-4DEF-BDBB-67C93757D2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D06E04-3AA6-422D-8B14-AE6BFE4DDE7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9C8F0B-8DB0-488B-9FCD-1CC4E87430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D0442B-D0D3-426A-BE4C-53B314B9B75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2B56478-3D1B-48B5-86E9-DEC1FA291A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76731A5-D734-483A-9559-9FD0744626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7AAE33C-8C54-45BC-8989-71654EFACEA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941925C-8AAC-4965-8DB8-2D6A3A41C28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CBD5D94-5043-4624-9645-242B6D7CD5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42E6476-6542-487E-9671-DAC87E24FBC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08D2E1-45AB-474C-87A0-E7C96403EA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A6F8EAE-5D31-4F9F-8376-FF254D5F9BD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F776B1-5B4A-474F-976D-5A21A266788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A56D1C1-A32E-4860-A34C-76BA265F283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E887B41-6F3B-445F-B283-A1221A91850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BBF768C-41AF-4F93-933B-19A38BB1ACC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CF21DC-F6E0-4F57-9AAC-9F406FFD799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10ED32E-83B8-425E-94E1-899595E752A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0AD8086-A4D3-4010-9157-8E70C2055EE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64A7B76-83B7-4B61-A99F-AA0C34F11B2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87BA7C0-700C-4FE1-9200-572FF6E8DA5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BF93EF-74E9-4821-B5C5-C2645BDF93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F40F27-596D-46BB-9AC2-5F67B6FB18C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344B5D2-0E36-436B-B45C-E70B84E3D3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89AEC30-83C9-4A5E-8CB5-B5AEF4F7314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7907AB5-40E1-4157-9240-842A476F427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10E418-653E-46B2-8CB8-C35911360BD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4536B14-4B1F-4472-9B89-1204D57F3C4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CE49492-3983-4E84-B6AA-89FBD1FA947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CAD8717-F748-41DE-8044-C83D01CBA9F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49FB344-032B-47B6-BC02-D9CEFCF610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7DB903A-36D8-4437-9275-2A3E3D3FA95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8018BE9-2DD1-4469-936B-DA55942F2BB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BC6EBB-2255-4ABC-BE29-129D0E33F3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4299773-A676-48B9-8097-7E23CC63BE9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27CFC0E-5E98-41D8-BC1F-4E996D291FD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5113F78-010F-4489-86F4-EB1730F1840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55AA6E3-A6BD-4A57-97C3-BBB987B55AC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7E71DCE-AFBE-4E6F-90FA-831BFA5205D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F38E1FB-8F48-4B08-BC94-E5A8D7AED06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89897DE-C404-4C65-910F-5C861D257A0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BC36BF5-6974-48F9-BA10-33D80715906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35C46E1-658F-415C-BBB1-20442BF0BB3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69A02D0-8869-4B43-9298-60957F239CC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DFEFEA2-44D8-4A6C-9B29-E116E0D8F54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4CDD6E4-FD2D-467F-9D08-5AB93F199BB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6DA621C-6646-494E-B51F-725B81F85DE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D4CF77-629A-4B0D-98C0-C93F07BB64C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D186F3-5425-4A58-BDE9-4762457383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81D825C-E1AC-4FB0-9C63-DD33C168EFA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07F5601-3815-4380-9531-50B8ADFFB07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CF649B-60FB-43BC-A212-4F72B75D71A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D40BE7F-A593-489F-AC83-484B14F27C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F3D9A21-EF89-4FB9-82AE-4CBF534A0BB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4789826-3A00-41DA-AE71-F9E46E4D41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3E8F61B-2898-4467-97E4-0BD84608055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815B897-EBDD-45D6-98EE-F183AA1933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065D6B4-B119-428A-9DD5-EF0E74897B8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E49A26-0F1C-4491-BF54-4EC86328E4C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905D419-1DCD-4FE4-9A89-581C7707723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45366CE-B5CC-4FF0-9FF0-1F9AC36F38C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5D81ED-67F5-4B03-9BD2-78271754F02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B1B05A1-7A34-4947-B3E3-336422BCE78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AB4551-CC42-4802-946A-A5019A5986A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F7BFFD6-259B-4704-A5AC-F2FC5B81CD6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B4EB462-1E15-44EB-B33A-F2FC317CB24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1C8FDBC-2859-478D-A5B7-AC59143C233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9DACC3-7760-420E-A196-23FBCAD1980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5CAD7DC-63D5-43CD-BE1B-D981525C676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83C2A90-ABDC-4BA6-9835-4B5625C10B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1CB3AA-6FEA-49F9-BB93-1789712EAE0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40BA9D7-5423-4156-9E27-631C0DD33DB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228CD3B-45C9-4E55-B270-106B230AB06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0FFB3AE-6D96-4289-B588-D71E2074FBA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8B76071-420A-424C-AF6B-E3991B1ED65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BF5A7CB-CADA-4DD5-84E6-A044DD44D6E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022BD2A-5415-47BB-B853-74254E4BF29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484729B-E63A-47DD-B7CD-885BCDF4899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76DC09-379A-49E7-946F-EAE583E906B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C8C654-5726-4F0E-A3BB-33FF50B49D0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CE3D188-5A09-4919-9239-E5F09DFD8DF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DFDB371-4E10-46EC-BAFC-F78D6EEBA21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997E0E3-110D-44F2-B5EB-A847237B160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E054E9D-6243-445C-878D-1B7EDC39D5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E3BD03-CD21-4CF9-909F-5585AA6881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2D10E6-735C-40CF-9622-57327F66CD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D8FFB36-4387-4BCD-B3FE-1D14213B72C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C8BEBC1-70C7-4FBB-808E-2EA78629828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2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8AD5E11-2B89-4C81-B601-CF3B3554EA0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2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4E416E-AA7D-4D95-9117-2508DACC43C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2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BECAA8-44F6-465E-931D-61782D6AF61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B795924-F04F-4903-8DF6-09F0ABAF721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C58AF5-BF50-4AEC-AE49-E9FE6C055BD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5F62EB-0286-457F-89A4-DB8C325672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B6FCA90-BC4D-48EC-AB8A-B6AE4F1F3D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09576F-F0DF-4AE6-88BD-CE74A73127D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4CD3F3C-8B61-497C-9F9A-78F5B9A8A8E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86D0B72-ABE0-4515-BBAD-5E3BF5976D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EBA9CE-0BC2-47DF-9818-EA7E9FA055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4A9BC82-2984-4E51-B682-C458A542E73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D82AFF8-BF51-44A5-A47C-3966FDCE388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EC71547-D70F-4F86-B69B-15B8900CD2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858044-3568-4207-9245-4178EA2BE15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9BC3BE4-E22C-4642-AD8A-B8F39F03607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6F648C-7ADB-477F-9D5B-9CD43C1989E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DB271EB-8D65-48B3-8A22-FA259437810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709152E-C5E5-4E2B-9C76-E5FF8C2DDE7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7B9B2E8-FB01-4025-9459-EFE17AF5CD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8F6E557-6353-48C2-9071-81961B819BB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D400764-9E73-492B-BDC5-323443B3D4C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6F77082-6656-4BC5-959C-0DB34508AE3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5D3573F-16CC-404B-A26A-BDA22FB224B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FB69A2B-3347-4BED-B10A-DA4D0D7864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8495E53-A22F-4C19-B62D-133A2CC5CB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3A7E68-440E-4465-A212-2C0A7646697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2D3486D-7F92-45C5-BDB6-4B9AE2120F1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98E396-2064-435B-A1F9-2918B7D3DDF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C7655B6-D6C1-4851-8F7E-76443991928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F800C3D-F56A-45AA-821F-517B41C8F46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1F22874-7687-455D-9BFF-795E5A25095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7B50437-D01B-4249-B5F3-914B6B860C4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E2AE981-2420-4881-8369-6064C1B27B0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FA41CA6-7008-42E3-A0BB-266BF01341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A7B30F2-EFAE-4336-AAB0-768619E525E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42A0E41-D8A4-47DD-A410-5BBCF9B97D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5E8DEF0-27DB-4B80-8DC0-C5341A88A0B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A8395C4-C565-4C02-AE2A-AFA4C4652CA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A7F74DF-872C-4E95-84C3-B7877A2592C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A25D337-29C1-4E15-AD71-03C9A73E2E7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34201E0-7001-407B-9C27-4DC8D6DB3A9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981E6A2-B642-4CBA-ACAC-5A0814B885C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F403A07-C65B-4258-9DC4-78DBFE6CBF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574B9A0-B1DD-4FBA-BB85-49619A488E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BDC6CDA-2F91-46AA-9A98-F24B0B86F20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119824C-0799-4DF4-8D1F-1D76973C3C6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BE2FCD2-C227-4724-91E2-0A03F702B54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80BACFC-0D70-480A-BB0D-FDCFD530BFF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8FEF0B9-3894-434C-9E3D-45A5E4DE603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606189F-06D7-45FE-8B77-524D668B593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7E2665-6313-4BE2-8607-EB93BFE037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FBD6A55-DD3E-442A-9A09-50201123A65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FDD698E-6846-4B4F-BD44-5F2391A240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2BE75DD-0B9E-4411-970A-7192ADDD93E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9A4DB1B-092F-476F-A622-DB447BD8C25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B251009-4C78-4A89-B5FB-73B58B8B45C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532F069-0B66-4A58-A727-27F195BBECC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53FD2B-59DF-446D-8792-E7EE5540EA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E6795C1-2D2A-4D67-8FA9-0CFB252C4C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E33905F-603D-4993-8B9C-BEBEFA18E2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23F48B0-4829-4DB4-9F08-9FD2DCF84EF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9BA44ED-4EC9-4F04-A9F5-180DF8D43E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1F1E6DB-E576-4DDB-8026-8AC122172A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106C93F-7B33-4D1F-8DF4-1C99ABCEC8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86D9E98-3806-4888-A943-62EFAACAC84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24F88BA-5C56-47B3-B188-7339345159E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C950F7D-A01A-459B-BCDF-B062D91F26A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7B5B6C-BA7A-4842-9894-CBAC9BA9197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8945C00-D4B9-42A5-BC9B-09EBFB8834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7A22E58-642D-4AF6-B064-3AEE10CAC2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14C32CF-5564-4ECC-BC5A-4F4866019DB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A5AE95D-92D5-4EF0-973E-13AD8D0EC8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826659E-6124-46BE-81EE-DD441B2335B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5F98604-5A6D-4D90-A50E-54C8B589190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7BED1A6-378A-40F4-ABCA-E06B3749E1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10DF22A-A1D4-41A0-BFD0-DED4F5D2DD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A9C507B-8F7D-46CE-90A4-04A3085B0E2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1E64DE1-13BE-47C4-885F-483081D0AD7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756E22D-B988-4866-AA5C-80996AE94E4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5DD1844-89BE-4FC8-97C7-62DD8DEC27A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53B959A-476E-4DF2-B7B2-CC38E589940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034E030-D9F2-4933-BA46-6C3DEF2B3A0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8B503C-DFFD-4D8B-9DF0-0C002C38F1A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2542424-F315-4A7F-BB3E-58BC9E04C5D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D92A09-B75B-44AD-9BEC-299A0B9099B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B94237E-1BAE-4EC5-98D4-9DF8056AA3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B1BB43-08E4-4E2D-B6D7-028CCDCF34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6690CE-1EB0-4258-9632-DE1886B1E9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9EBD84-88A5-47B2-9BFA-7B8A07287F2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2162E51-599B-43DB-BC1E-562E1158A8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0BF51F-2F80-49B6-A053-D2F08DC5E7A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108515-6D44-4383-986C-CACF36B8C9C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A13D46D-C15D-4784-BA17-C26906958F9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B1D0A41-12BC-4822-92DC-FA9C0B6FD9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4CD7902-A75B-45B0-A13E-59DC84D5FE2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DD1784E-2736-4188-ABF5-8969501143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042F15A-B4DE-4DBB-9CEC-887285686F3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78C8B68-75E8-4257-A71D-4DA553A10F0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4BCE2BE-D8E3-47E7-AF0F-F74CB8C29EF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3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46B2568-4734-40B3-B31C-098EB3CAD3D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3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C96B5E8-DE8E-4ECE-9D7C-A5429B6178D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3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E1F4B0B-3569-401F-87D8-2E253E5F6C3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80C67AA-D300-4158-B2B6-367C06B4B49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35AAA4F-A0FF-487B-9297-F4B40F901A0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DA7B07B-046F-445E-9DDC-D0CB70D745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1F92EAD-35D4-40D0-8DDA-9BE3F6173C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A514B37-14F6-4B05-AB0D-AFFF484397A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6D056C-09D6-49A4-B765-9613DC81451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8DFE5B-0C60-4F7D-A170-09378F573EA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D79C85-B8F4-4641-8EC3-2BD2E44F22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9F995C-0285-4E14-91B5-BC399ACB4EC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EC29951-6B4D-4247-A1E9-11226E731BD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F8A1AE3-C2EA-4E48-AADC-ACB678C59E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E17C4D9-37C1-4E58-954F-5DC7F6F6047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7712C42-6D20-43BA-B8A3-6DF8ACCB87C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9A432A8-0907-4176-BC78-318DD2E5A0A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F6CF1F0-CD8E-4258-A445-4F74F7A61B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0651F71-AC08-4F10-BF2D-B62D52EDE3F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951681A-5B78-4329-A3E2-DF8D05111A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147B5C-3C53-4B36-8108-04EB5D514F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EEFE43A-5214-460A-94A4-BCD20FE9D36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B3A7152-B915-401A-9782-CEC64719EAB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9313353-F517-450E-B5F1-CA98D4A445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396BE13-E38C-4B64-9207-0FEAC947BAE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78E67AF-06D8-45CB-94AA-671B599197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CB36EBB-4E6D-4758-AD27-4289507D2F0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09EEAC3-FCB6-4206-8A30-947BC6D2AC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F3A1CF4-3D22-4A87-8B66-CD92C3AF98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8820C00-4234-4DFE-8E93-43313773F3D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4FF0F0B-4B4E-42D2-B32D-2FBFB050B2C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8506BFF-5E09-451C-9631-79C619893C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79D98FE-9E15-46FC-AC36-C699BC757F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2451DB5-92A5-4649-91AF-667835D1B6E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2696EC2-EA3A-41E8-80BD-1D4A9BBE2E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8B997C7-B730-4BA1-939E-73C2C1579D1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8A70D2D-336C-447C-A937-60E4AAA8F3B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5EC3E3-E8A8-430F-8D7A-5A4804F5B42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93ED6E-DD23-4CE4-A155-9EBEC540B8E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960C8C9-5223-4380-86BD-5FB054AB66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57E17B3-1B8E-47E2-9DDE-5E683F685E1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FCDE626-7494-467D-B1EF-BB2FE6D677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9FEE2DB-7468-4C43-ADA4-DE2790EA269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99158A-BDCE-4139-B425-082ECE1C8BC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B2602A0-7004-4A87-8A8C-02261B83A2D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F66437A-22CC-4E50-9877-AACC9BAF605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F385FAF-C2CF-4BC3-9378-777298A1216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F257CF-A560-48D5-8D21-EB65708ACA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E6974DD-340C-4662-A4C4-F63452AF15D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BEFC52-D405-4749-BA7E-C9AB06D0873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5E7AEAD-6873-4D55-BCE3-E30DF6658D9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1E30969-D0C7-40C3-8126-71D1AD50584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CD5A80A-05AB-48F7-9436-6ACBC4BFBB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C5DE690-F1A6-45EB-9719-6BDD523E278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D02613C-1AB3-47DF-AB1F-464D7A78B1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BFD1786-7377-4D16-826F-9A397F3CD38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63BDC16-168F-4640-899D-3EEC695424A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5744B87-A7CE-468E-8AB1-84555070FFD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C0E0283-1F48-443A-BA85-D430341179D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DA3C323-7DD6-4C33-B968-2D56B61870F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1E947D4-2BF1-41BA-BD16-59074B99F2B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E2DB1C0-9EC1-4AE0-8005-7829773145E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DA63775-88E8-4156-A60D-50F1985B43B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5CC5FC7-7ABB-4F80-8F12-F69594B1AA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082D3FB-063D-4E68-BB07-E5A4BE4AD9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508E200-69A7-4E8F-8117-D647313DD4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DD0CC4D-C3E7-434E-8FAD-ECF081D3860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F5614D7-7841-40D5-A6D4-0E3025562D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7F308F4-7012-4AFE-8459-E42DF070113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4F9D438-337E-476F-889F-0FBAF45597E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92C207C-F640-4912-950B-D613F5C9847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E374DF5-3ADB-41BB-837A-377DBAFE84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E19D330-AB9E-4E52-B8B6-E2B7445B7A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7DA969D-D55F-49D8-94AF-48BDD561F00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E56A24-48DF-4898-A01C-2F9A4637128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1E3F87-1DF1-4495-9C3D-AF37B1AC8F6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AD30EAD-F928-4032-944E-8DE1548D43D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1B03CD9-C0F2-4B46-AFD0-1812680333B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0D3864D-62E6-4F90-A136-38EFB916D5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656D572-A82F-4CBE-9611-3E43E8E78C1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1712407-C5AD-4983-A439-867D55713A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FFB69B6-1858-49AD-98B2-FFB013F306A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05ED2DF-3AEB-4EB0-944B-E0EC6DFBBB4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861A361-CBCE-4602-8B57-3F9AC8E977C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1FCA2B2-53C0-41C3-A8EC-907A4E55361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9E0096B-1333-4AFE-92EC-D9C9A9F7952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0290069-91F0-4373-A713-7DE002A433C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DC28E1A-4095-444B-B2A8-492D3CAE98D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599A8D2-5CC1-4BEE-96D6-3240CB575EF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44A3A3-B709-490D-9CD8-0804E1C654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83E8BE9-16CF-4B99-89DC-4C8523E60F2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0B4C085-3FFB-4980-9C5B-7786693CD3B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C39A6A-F9FD-4940-B33F-3BD7582D3A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1F0DC9D-FC94-4443-ADCA-B579D0606AF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159558C-87BA-4487-BC93-5650E6F3153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5E1D649-643E-42CB-A94E-8C2E0682CE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8EDEB45-F61E-48DD-BCED-B4DD832EAE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B274EA-2716-45BD-ACB1-90F2F4757E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E34655D-5BA9-40D9-8BDC-34DD3CD7B4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857ABB1-E64D-4464-8516-696D312B15B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4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1A1F5C2-883C-4F68-968B-158B8562578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4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3EBA32A-DF3F-4F4E-A413-A11FE823907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4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EBD461-F0CF-4469-B571-19B17F1C3A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955DB8E-8D13-44EC-A8F3-FB6FD32570A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1AF482-DD51-4419-A7C5-83EF1949AB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8733299-7CA9-47DE-B5B0-BE76904CC4A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5CF9B8-605C-42C2-ADF5-49590864AE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F3018A2-213A-4CC1-90F6-88CB667FC71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088A0F-22BB-4DEF-B504-F18C053362D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2D9C7AE-2CA0-4AC1-A502-CEAB5F6947D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B9E40B9-FCB6-4DEA-9CDE-94BE87CDBD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25E9AB5-134B-462D-BEA8-247E6C11D49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AC969E-0271-4D53-B665-C685C148B35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8E49436-8B0C-4ADC-87BD-DC6B52F5028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E0051B8-37CB-4706-BF50-EC72683B88C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90EB26C-9821-4DED-A1D3-58C810DB55B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9621563-AE7A-4549-81D2-1ACD2F8167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4826EF-61AE-4370-ABBC-10F93130092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422BC4F-CA56-4D17-89A4-35217A92493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5789B9D-311B-41C2-891E-119376BBC35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5FE746-7B35-4D90-8DB1-44E14529322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404B020-F580-438D-8650-663DE7B843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31D8249-09D9-4E54-B11A-599F07518C2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9594C03-308E-4E57-84EF-73B4A56BD1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DD14218-6792-44B5-AEA0-AA4C678A1D8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21E897C-9FB2-423C-A317-FA6BFF4BE81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5DD2942-6389-4A3D-A0BB-74ACA3F9FE4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3359EDA-1AA3-4170-A048-F7978B6D999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B4087B-4A31-4D9E-9EF3-C290FF50FDA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B7A4458-07C2-44EC-94D7-2DBBC49077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A5CC40-372F-439E-AAF0-916FEAA3D7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176849-1EF3-4E85-A413-0A1053F9FBE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19BCF2D-3795-4804-8C9D-146FCC56DAA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54631B4-E2F4-4664-AAEA-04B2E39DE6D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0DB3DD7-70A2-4A53-BCE7-23E408E083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8FCD0F8-A9BD-4E8B-8EE3-7D42D50D6BB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131AAF0-8FD7-40D8-8ADB-0B41D38703C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D105073-14EB-414D-94AA-8DD8ACAB76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6A7BFEA-3D1F-47B0-9902-31D3262E0B8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7E0BDBB-534C-441D-BB95-D5DF2482F3E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05A1061-0F2B-4842-BD3D-AA5CCE5140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B4E013A-7C7F-4AB9-A558-E0DA1B9E97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267A3AD-7CB0-4B7C-9407-FF1968D2AD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9C7AD1-B92F-4195-9720-38F5B720E7C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256BC2E-A85B-47FA-900F-B4BB4FD927D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317C307-6FD7-4F11-8085-3354D81E51A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DE67192-1A36-4874-A1E7-D68B8C46D74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2699F8-B58E-407A-881A-A040A2A5AA1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F5261F4-EA6E-4164-A054-EC67768BEB0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7B6456-C2DF-44EC-9163-516E9CAFC0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304ABA-4EA2-4F98-A216-AC9E7B2CA71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540379C-B27C-48EF-859C-E5168EADD4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DAB05A5-E1E4-4B74-9D64-713679193EF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3549B8E-7E81-4317-B83A-13A14127239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4C3A99D-0AD2-4539-8799-558ACD5C640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4079906-5488-4DDB-AC47-7E1E2A290EA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D0E4657-6BFC-4453-843B-85616A8FD25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B0826A9-61BB-4C9B-8B1A-AF3281EBBB9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1891519-D09F-4169-A401-5AAB3199347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D32F20D-5745-4C2C-A35D-1008F15596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0B8431-E0C0-4A54-BC92-1DEDB41BC4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E1D7D00-2A5B-4D0E-A836-40455ECAB33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34923</xdr:rowOff>
    </xdr:to>
    <xdr:sp macro="" textlink="">
      <xdr:nvSpPr>
        <xdr:cNvPr id="5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81B9D7-BF64-4CF1-9C83-5887BB79AA5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34923</xdr:rowOff>
    </xdr:to>
    <xdr:sp macro="" textlink="">
      <xdr:nvSpPr>
        <xdr:cNvPr id="5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4D5EA78-4421-4D86-9680-CFA0710A7A7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34288</xdr:rowOff>
    </xdr:to>
    <xdr:sp macro="" textlink="">
      <xdr:nvSpPr>
        <xdr:cNvPr id="5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0C38E00-8503-42D1-BD5F-03AE294AEA5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5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94959EA-2237-44EE-9106-9B42DE80A69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34288</xdr:rowOff>
    </xdr:to>
    <xdr:sp macro="" textlink="">
      <xdr:nvSpPr>
        <xdr:cNvPr id="5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67C1EEE-9AE5-4F4E-B6BD-0AF07ED855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73023</xdr:rowOff>
    </xdr:to>
    <xdr:sp macro="" textlink="">
      <xdr:nvSpPr>
        <xdr:cNvPr id="5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01EC2B-BAF6-427D-9B2B-E11C98CC470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73023</xdr:rowOff>
    </xdr:to>
    <xdr:sp macro="" textlink="">
      <xdr:nvSpPr>
        <xdr:cNvPr id="5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D116713-09E7-4EC8-8773-CFBB24BDB40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73023</xdr:rowOff>
    </xdr:to>
    <xdr:sp macro="" textlink="">
      <xdr:nvSpPr>
        <xdr:cNvPr id="5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23F0437-C590-4EE8-8D58-B8A973C7004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73023</xdr:rowOff>
    </xdr:to>
    <xdr:sp macro="" textlink="">
      <xdr:nvSpPr>
        <xdr:cNvPr id="5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EB28F20-2E85-481F-9CC9-9CF773B5E0D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73023</xdr:rowOff>
    </xdr:to>
    <xdr:sp macro="" textlink="">
      <xdr:nvSpPr>
        <xdr:cNvPr id="5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8FE944D-638E-4D08-B1F3-E7BEA9965F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73023</xdr:rowOff>
    </xdr:to>
    <xdr:sp macro="" textlink="">
      <xdr:nvSpPr>
        <xdr:cNvPr id="5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E50EE85-D32D-40B8-ADE9-D564473C51C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5CE9818-2267-4134-8554-6CEBF0F6222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E7D4A1-4114-41DF-BD30-A3906A3C593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9E978B4-929D-43EB-A76F-B89194EEE9F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5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203BE7D-05C7-44BF-8515-2ADC000A26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110488</xdr:rowOff>
    </xdr:to>
    <xdr:sp macro="" textlink="">
      <xdr:nvSpPr>
        <xdr:cNvPr id="5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1C268C2-530A-4794-9FDA-F0044A7F6BA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5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FC85468-CD32-48A7-865B-96D889E6490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5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D7669B8-79A2-4590-BD77-AD2C4ECBA2D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110488</xdr:rowOff>
    </xdr:to>
    <xdr:sp macro="" textlink="">
      <xdr:nvSpPr>
        <xdr:cNvPr id="5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BA59D41-3F96-417B-82F0-853859EB4E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5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426183B-7B12-4FFE-9860-7277BECF537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9DF96DE-3F6C-4F19-B1C8-BE5E85BA687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72664ED-0DA3-4778-9D9C-A1EB51ABA17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7F000A-246F-48EB-85CE-7D295CD254B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65ABC4-80F1-48DC-8733-5CA1AB48FF0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DECE004-8DC3-4C41-8273-FE15EC26333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44656E7-B540-44B7-B41D-6A9D9CE2EB5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4CFDE7-D9D4-428E-8843-E1944D0682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FABB4EC-B8E0-435D-9B2C-D266D7F1E2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A17EE0D-F4B3-4E4E-A7BE-C487500228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2983C1E-AC9B-4EE5-ABF6-D4D6D76FB81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8B73814-045A-432D-8D69-D687B72805B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F465F56-AFEB-46B7-BDB5-4BBC7F5871D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D98DFC2-29CD-4B7F-8075-7700F2FB91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CC62A6C-7E11-4BC9-B63D-381B0A68CCB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3B37290-1D50-4438-A4DE-D718861077A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1959168-61C2-4114-BED0-CE03564BA4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15288A7-B530-43A8-8244-B0156651C53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E0D2C4F-EE4C-4124-8CC9-4B4F973280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5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7F285E7-1187-4140-A9FE-3A8717E660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5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E6307CB-D0A4-49A3-9CF1-AAA0C53EF3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5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E8F0ED0-1A4A-4894-B215-BEB136E74C2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7E6579-C54B-461F-81FC-47F1054A446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E0C0A8-EB8E-4E51-901B-DCB2FB8C5F3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44D2A7D-0742-4EDF-9396-069ECCA372B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DA778F8-62A3-4D34-937D-6B048DB9284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E41E91-A245-43ED-AFF6-0EDA1B6E7B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D5B338-5834-45C1-843E-9EE057DF9D9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7605967-0B4A-475F-8195-D7F6CBC9943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2106314-9B73-49F7-98D6-D94EE982CE8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0A0BD61-3032-4A35-955E-35627A65FF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0EE7AE-FA16-4F33-9B63-1BE42DBCEC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71993</xdr:rowOff>
    </xdr:to>
    <xdr:sp macro="" textlink="">
      <xdr:nvSpPr>
        <xdr:cNvPr id="6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CCAF85F-3F63-4F25-A3B0-C52539A21EC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109973</xdr:rowOff>
    </xdr:to>
    <xdr:sp macro="" textlink="">
      <xdr:nvSpPr>
        <xdr:cNvPr id="6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DE1A3EC-42EE-4CED-9D62-0118C19414F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110093</xdr:rowOff>
    </xdr:to>
    <xdr:sp macro="" textlink="">
      <xdr:nvSpPr>
        <xdr:cNvPr id="6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07B19B6-D841-4AAA-8552-4070A0F198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F70B0E-1799-40F7-AF91-9ADBC086EBD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B01E74C-0FCE-45F6-A68F-2AA2632109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79257DE-EF4F-420F-83F8-978E72FA163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81E9A26-D448-4C05-8BAD-03AB4DB00D7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D9EC6D9-7205-465F-AE52-E9590B16D09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375713E-0089-4BFC-ABCA-FA356C960A3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3FE720-D50B-4A4F-A79D-A1D3EF94D0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56D6E21-0BA9-4992-8D08-DBF0C7062C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CCC25EC-9D4A-49EE-94D6-696F16C1191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7741D4D-9CCE-4C9D-9796-E1CF23F5A6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110093</xdr:rowOff>
    </xdr:to>
    <xdr:sp macro="" textlink="">
      <xdr:nvSpPr>
        <xdr:cNvPr id="6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FA93048-F4E8-44B3-845C-8FE05514AD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7DB005A-F17B-4FFD-B382-BB9271BE377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18B66E-6BB9-4B23-9852-38810680ECD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A67AAB6-7255-4923-BE75-35C045A4647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6FE4BBB-DC52-4036-9873-9D979A2E142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D9B7648-D484-4410-AA97-11F02EBC3C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5A9EF6F-7276-4668-A085-BC1816CFF7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3C0BB9D-1F1B-49C5-BCE0-9CF1CA4A19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110093</xdr:rowOff>
    </xdr:to>
    <xdr:sp macro="" textlink="">
      <xdr:nvSpPr>
        <xdr:cNvPr id="6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4EF79E-F17E-42BE-9160-932A5AB64A3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0BC1CA8-FE12-49CD-8C0C-EA9C73772CB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916927C-B3C4-498F-AE60-8AB9EE65AA8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4B6856-6846-4934-B340-4CC50DAF077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3B8161-4137-4E88-A91F-9A8F0F181FB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A9E8A79-9947-4112-B61A-2270E4FB945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A256D8A-0134-4FEF-9A19-6ED641B65D3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B4BC06-AE09-4327-B960-C030D64486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03B1DD-0E0C-4F30-9535-C960EACDF35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610011-AF03-43AB-92A7-1F4039503EE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67A0092-258C-40E3-B89F-EA82B8AADAB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3966DF2-C393-43C1-88DD-6CF8498CF62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7B7563-79A3-421B-9ECA-49795AFD680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A0704A3-1F42-4428-B001-7FCDA220B6C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62FD82-94AA-4FDC-9FD6-D6AAAAE0CFD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C61B0A0-A568-40E0-9179-471CE60852C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AB815A2-EFD7-43D2-99D0-4CB91E24C95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5A32F16-1A87-444C-A7A7-B18BD6E7D17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149314</xdr:rowOff>
    </xdr:to>
    <xdr:sp macro="" textlink="">
      <xdr:nvSpPr>
        <xdr:cNvPr id="6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A40A21F-A671-4F88-84E7-2722D0350B4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47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4C9DFC-D7BC-44A4-811C-DAEC8FE9FB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3C790FC-0B12-444E-8CDD-52A5E070EF0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F529AB-D62A-459A-A7CB-5990A6A6CA0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D63E423-FFB7-4B16-A59C-77BECC6B72E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BB5237-6607-49D8-986B-955F9365CC0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A16D1FF-51BF-4CCC-A552-1737B4F1F5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57D1445-7CB0-4350-9BDF-A77BE897C6D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D66000C-AAB6-417D-B3F4-EC24660E640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20A1EE4-43E9-4F1C-AFCC-A78D6F152F0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F60EFB-CC8E-4553-B026-ED9A16E32AE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6121130-BE1F-4CE1-BE7D-F8ED7A0DB9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F00C0F9-24F8-4AE7-9D4C-43451CE0E5D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1F52B97-7333-447B-841F-29A38CD35C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81A662-2970-413C-A1E2-B078F82C897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6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93626A2-3C0C-40B5-9ABF-E828B2B6534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6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C3E536E-3FB0-4D25-9305-99BB06CE5A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8C9015A-5A39-412B-A54C-31E940DC8FB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D9D22AF-2E1C-49FA-A4F3-3B611111B9A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A30DD94-4953-48EB-9BC2-1F6B3309BFA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1C0D24-39D9-457D-AC08-4BC3C818999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6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935256-0251-4859-ABD9-A6FE7FA9D3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6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6289D86-ED6C-461F-9DA6-CECB9D82859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6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8717CD-2C91-4511-AE04-D8B50588226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71753</xdr:rowOff>
    </xdr:to>
    <xdr:sp macro="" textlink="">
      <xdr:nvSpPr>
        <xdr:cNvPr id="6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49F2D63-1479-4843-B262-042228E9911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71753</xdr:rowOff>
    </xdr:to>
    <xdr:sp macro="" textlink="">
      <xdr:nvSpPr>
        <xdr:cNvPr id="6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35C088-9490-4C2F-9089-8C044A62955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71753</xdr:rowOff>
    </xdr:to>
    <xdr:sp macro="" textlink="">
      <xdr:nvSpPr>
        <xdr:cNvPr id="6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3135F86-BBD1-45AE-9EA0-27721D8F2C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34924</xdr:rowOff>
    </xdr:to>
    <xdr:sp macro="" textlink="">
      <xdr:nvSpPr>
        <xdr:cNvPr id="6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FE3B8AA-CF99-4C80-A0DA-E78FED72538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34924</xdr:rowOff>
    </xdr:to>
    <xdr:sp macro="" textlink="">
      <xdr:nvSpPr>
        <xdr:cNvPr id="6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43EC82D-B991-4BCB-A79C-8E0F710F8E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34289</xdr:rowOff>
    </xdr:to>
    <xdr:sp macro="" textlink="">
      <xdr:nvSpPr>
        <xdr:cNvPr id="6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7625CE6-BFC7-4859-9047-54FA62FE79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72389</xdr:rowOff>
    </xdr:to>
    <xdr:sp macro="" textlink="">
      <xdr:nvSpPr>
        <xdr:cNvPr id="6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69A1869-6DF5-4025-8F4D-B57D083B1EB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34289</xdr:rowOff>
    </xdr:to>
    <xdr:sp macro="" textlink="">
      <xdr:nvSpPr>
        <xdr:cNvPr id="6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EC089B0-CD2B-4C92-9B3D-4D7761E5C79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6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9463E8-D623-41E3-93CE-9982E3F15BA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6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A747168-312F-4214-BE88-0A212B5002E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6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573A953-CC8E-4E32-AD13-ABB7BD6B065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6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7BE0F0D-48C3-42B0-A1EC-B7B6EB4F80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6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F4D207E-79B6-4D42-B29C-D827F5D076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6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8BBAE25-E1F9-4570-B62F-3F2C131034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34924</xdr:rowOff>
    </xdr:to>
    <xdr:sp macro="" textlink="">
      <xdr:nvSpPr>
        <xdr:cNvPr id="6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1FAE450-71D3-4E08-8AB3-41ADF7519C2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34924</xdr:rowOff>
    </xdr:to>
    <xdr:sp macro="" textlink="">
      <xdr:nvSpPr>
        <xdr:cNvPr id="6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ED8BFED-78D5-4303-AAB9-00546896FAA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34289</xdr:rowOff>
    </xdr:to>
    <xdr:sp macro="" textlink="">
      <xdr:nvSpPr>
        <xdr:cNvPr id="6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CCAD7C8-4689-4FCD-A3B8-86F10BF44D9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72389</xdr:rowOff>
    </xdr:to>
    <xdr:sp macro="" textlink="">
      <xdr:nvSpPr>
        <xdr:cNvPr id="6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A81063-7E45-4D07-928D-0EA894B2187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34289</xdr:rowOff>
    </xdr:to>
    <xdr:sp macro="" textlink="">
      <xdr:nvSpPr>
        <xdr:cNvPr id="6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EA80A0A-9F12-4CA0-9A3E-D31EED0976A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6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840DC5-2148-4D4E-9212-1EDCB25E9A0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6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169A71C-EBFA-45AC-AF9A-4F0D4FCB5DF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6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8D5148-571D-4337-B3D1-C9EAA52059A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6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C877E4-80B8-40A3-A31C-E33ED509642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6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41614D2-BE37-4C2D-A3CB-E4FBF5F277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73024</xdr:rowOff>
    </xdr:to>
    <xdr:sp macro="" textlink="">
      <xdr:nvSpPr>
        <xdr:cNvPr id="6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2A8B385-101E-461D-ACBE-A0ECA5F958B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71965</xdr:rowOff>
    </xdr:to>
    <xdr:sp macro="" textlink="">
      <xdr:nvSpPr>
        <xdr:cNvPr id="6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B2C8496-F8E8-4B0B-BD3E-3936F10FB7F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73235</xdr:rowOff>
    </xdr:to>
    <xdr:sp macro="" textlink="">
      <xdr:nvSpPr>
        <xdr:cNvPr id="6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A22EDE0-0334-4188-981B-142DBCC88B9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71965</xdr:rowOff>
    </xdr:to>
    <xdr:sp macro="" textlink="">
      <xdr:nvSpPr>
        <xdr:cNvPr id="7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4343272-1986-49D3-8D55-15F97F3B21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A247E2-03F3-4D15-B046-3BD05AD837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79AD704-84CC-4FC1-8738-F028161B034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1677D7C-EAA4-4791-BAFC-2B3CBB620BA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8D82F0-2F99-4039-8E90-3ED91A90842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EDFE5CB-F12D-43E6-899E-D76876742A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62C5F01-D22B-4F35-AC9C-E03BDC5D18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288996F-CFDA-4C26-AA50-A587EB106AD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BCED14F-3CDA-4C02-B648-B0B69CACB7F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5E74C8C-0E05-47AA-8808-F24B3526EC0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2ABBD68-D2DA-42E9-81BC-2F6F41D695D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71965</xdr:rowOff>
    </xdr:to>
    <xdr:sp macro="" textlink="">
      <xdr:nvSpPr>
        <xdr:cNvPr id="7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75DBD6-B54A-43A3-AC4D-A2AD0DFFC6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5713094-2586-412F-8B25-B4ACB58D38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EC5F0D8-CEF3-4FEF-9B22-54EF5F2B2AB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72A73D-E2F8-4D08-B23B-40EE455EAA9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86FDB3B-A524-4AE7-BEAA-CDDFFF7D3BC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07FA6FD-C67D-4552-89EE-98EA6004EF2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A637EA4-0D0C-400E-971B-B6B60A2BFB2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87FD8E2-8A25-478A-AF85-F4325641BB7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71965</xdr:rowOff>
    </xdr:to>
    <xdr:sp macro="" textlink="">
      <xdr:nvSpPr>
        <xdr:cNvPr id="7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EFF7FD3-F0E6-43DD-BB31-A2F4698E7BF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FF18DA2-98F9-4401-8265-0A521A0ED69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ED9CE0-286D-41F6-926E-C53ED964FFE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B55108-7EEB-4C2F-8810-300C456ABF4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46703F-62E1-4DFF-BE91-15BE010739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40A5857-1EFE-40E8-9B84-224FF05BC7A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CBD1BEE-B59A-4745-9A27-0EEC9C176F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BC876D-56BB-4BFE-85B1-8D49D15C484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72600</xdr:rowOff>
    </xdr:to>
    <xdr:sp macro="" textlink="">
      <xdr:nvSpPr>
        <xdr:cNvPr id="7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7D309DF-29A8-4505-AEAC-1B065A588E0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72600</xdr:rowOff>
    </xdr:to>
    <xdr:sp macro="" textlink="">
      <xdr:nvSpPr>
        <xdr:cNvPr id="7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8B818DF-B8C0-4988-9625-B3FD8BC69B8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71965</xdr:rowOff>
    </xdr:to>
    <xdr:sp macro="" textlink="">
      <xdr:nvSpPr>
        <xdr:cNvPr id="7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948918E-B77D-4917-91D0-9EA5CE8F67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71965</xdr:rowOff>
    </xdr:to>
    <xdr:sp macro="" textlink="">
      <xdr:nvSpPr>
        <xdr:cNvPr id="7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7E9097-2042-47D2-9755-223BED32925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71965</xdr:rowOff>
    </xdr:to>
    <xdr:sp macro="" textlink="">
      <xdr:nvSpPr>
        <xdr:cNvPr id="7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1BE3947-2F87-4461-BBB0-16EFB88C43F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8369870-3BC7-4654-B4D9-39A584D58C0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7D2FA1F-C7DA-4A6A-BED9-9237CDCF483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631E0E-44B9-48BF-995B-D6AB0C906E1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5940E1C-C613-4CEE-858C-10637BE1DD0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F15AB9-4083-46F2-ACE0-0C5C946D1F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128B04A-AA0C-4A02-9408-AD06C0F34C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0DC0A83-0ABE-4B01-B698-7FBF8FA8B54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893F410-B73F-4EFB-ABC0-47E14EA64D3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AA2A8D-FD6B-46AC-BAB9-D360148FAF9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C8BB931-958A-45F2-B01C-1E595702C0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DED4A5-F3C0-457E-BD80-3D82E3EC210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19DBC95-25C1-4F16-BC5F-803E470C8E3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D757A6F-3B58-4CCB-A060-00B23659C6E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BF43C0A-C9A8-4D03-8A59-493D3BB453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E6E451-2FD0-4483-9497-CF4EBF2633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593A1E7-F84A-453D-B7D7-D1A06078019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72599</xdr:rowOff>
    </xdr:to>
    <xdr:sp macro="" textlink="">
      <xdr:nvSpPr>
        <xdr:cNvPr id="7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204A23-D73E-40CC-B096-702C25FC4D3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72599</xdr:rowOff>
    </xdr:to>
    <xdr:sp macro="" textlink="">
      <xdr:nvSpPr>
        <xdr:cNvPr id="7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7052A96-E230-40D0-8942-6904156BCB8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72599</xdr:rowOff>
    </xdr:to>
    <xdr:sp macro="" textlink="">
      <xdr:nvSpPr>
        <xdr:cNvPr id="7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461ADA-1193-4919-9D2E-CE8FEDB973F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4E46BA5-EF7C-4700-AE37-44B955FE372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851CC8-1B41-4DC9-9460-0A43F667C31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AF68331-1351-4A31-AB33-38D66ED8F0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062BFA6-FBB3-4D23-AE12-588CE8F32F7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5C93F0B-A3B2-4DB4-AA12-386562FC9DE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9A8A955-6583-4BF4-8AE7-E5D900C421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484A7AC-DA01-4BF3-8BAB-342B16C0B0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8208F0-7395-4C30-9409-BE0A391BCFA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DFE974B-A487-4998-9143-94FD82647D4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AD3AD64-9A21-43AE-B808-05867B624E7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72599</xdr:rowOff>
    </xdr:to>
    <xdr:sp macro="" textlink="">
      <xdr:nvSpPr>
        <xdr:cNvPr id="7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00A78A7-7375-4BA1-BE8F-BF9E15B45DB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F0FB87-5468-4709-91EE-23C80CD1895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036EDC9-E313-4590-92C3-3834B4B8039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ADA1C66-AE00-4527-8DFB-DAB77D69F38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84635A0-F5E6-46B4-BCE0-35A53B87B4B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4BEECFB-A82A-460E-9FDB-E54E0EE932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2C9827-35A0-412B-9AAC-00511B649A3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A3BAC95-B1A7-429A-9A92-4AEA9C61DA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72599</xdr:rowOff>
    </xdr:to>
    <xdr:sp macro="" textlink="">
      <xdr:nvSpPr>
        <xdr:cNvPr id="7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C408DC5-D985-4A6A-8F24-699978177B2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1CF25D8-B99A-4B09-AF43-65AF7CB669D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1F95F3C-4A8A-46EB-9A41-63CB8635A03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5716BC5-FC7C-4D2C-A889-A67A79BE37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3E83B10-185E-4A85-9E5D-0122D9E1BDB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55E778-287F-412A-AEF8-128AB8E9C7F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291D1E4-1A1E-4938-BC3F-7F18C94C39F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EE9D26C-5DCA-42CA-9023-C4095A7ACF7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7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D7237D2-2A56-44B5-A8B1-4A5114D3C9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7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F061814-2167-4724-B0A6-7643B9E87AF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7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52E91BB-0051-4B06-A3C5-0B7616A684D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2F3541-A7EC-479D-B3D7-20D2406EA5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E1A93BA-9B8B-49AD-A0C3-5AD592DFD9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E9A9C3-A793-43EA-B768-A9E390A1BC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EEE7929-E4C3-4CA6-9832-D43AA6DF98E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1B46AC9-C1CC-4629-88F3-B2ED30A4801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22B8433-EEFB-409F-A2DC-3D316B18FAC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A894E6F-378E-41F0-AEF6-08BFDC4959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2ADD1DB-DA8D-431A-A862-950C2D1B374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CF871E8-6922-4F92-B4D4-F6C24ED944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B8A23F4-4EFE-4C75-9855-690BB9C1F71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BEECBD-9712-4A1F-8825-03E79E0AF5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56FBDAD-9396-4996-9785-40461CAA876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03FAA70-C63F-4393-ADB4-32822E26A53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EEA179B-7490-4666-83EF-AAD971F539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5FCC260-D3DC-4D5C-BF41-F874398324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DC47573-52FD-456B-AE9A-2F55EC456A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1AD01AB-F984-40E7-B74D-08905023C57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7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5DD0874-3673-4C18-A7B2-1148BF02CE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7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1B83A75-11D8-48AB-8600-438B090C9D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7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9A5930D-2D76-43E7-AC29-D93FE7178EF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2F454CA-790D-4C16-AA2F-2041C0C142A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7762AAA-C44F-440D-9256-9D12F6412DF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E0EB42-909E-4EF4-8323-41CC5FC90FA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63C462E-AC97-4993-B2FB-5EB38F543A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6CF826-13C6-4459-B636-D5C2E1EE95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1676CC5-026D-40FF-B3E5-4412EE86C7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C6A2B8-5E5F-4DC9-9313-7809F863FD6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924E33B-95EE-4B46-90E5-1263DE8D97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564B2D0-020A-4059-A0A8-5C1D9237D7C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09C9E8B-8F37-4F07-9233-FD9D6AC23A3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F02CEF6-C35E-444C-983A-A4E35679EC0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D6238C-5E9E-427D-B621-9D5949083E1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B13599-4E63-4718-BCE8-8047FE2DE45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07AD5C-C789-4455-B897-453E1E1946F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C20885-267D-4E0B-90AC-D9CE21D25EA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8025CA5-2CF6-4D6F-A801-4EC6846AD52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CF171CA-8CD3-41DD-A752-7A8401752F2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647644F-9F34-4800-BE1F-4A02FF4AE4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9021AE7-009C-4D89-98AB-C0465FB8F9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2EFD9F0-5033-4E61-A438-06C8C58C0D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1795EE8-401F-440B-BCF8-DE2B946A95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FCA2A21-45F8-46B2-8FBB-9021C3ECAB9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A3ACC49-F0DA-43C1-B553-1C9CB14D1FB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E002E55-08BD-4AE8-9846-6021C60DE5A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FC81408-A45C-44C9-A511-01AAD31743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2D506D-F068-4A47-AD2F-A3789AC06A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4FF2C5E-EA9A-467E-9F85-902199DDED9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A3D5CB-DD47-4274-ABC4-37B16A83A1A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4F0AAB0-EFE3-4105-BF68-7E8137D80E4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5900422-86C6-49C2-9C4B-DFBC78E742B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B6DC674-14AA-43BA-A226-9ED01B3048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4FB93B-5B88-4D55-A7E2-9C2CB39C85B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1F87DBF-8EB9-4B5C-9AAA-FFBF2F2BD32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28F9A0A-9B66-4719-9746-C51F176B6E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6A5F6C3-86E8-42C2-9159-9FE94CFAB92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33143EE-FA9C-4EFD-800C-5E82F6B01E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D75F46-6608-4524-953D-D4C682346C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431F2E1-2663-4BA4-AF8A-13A63D3586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D84748D-C6F9-442C-A62E-A24FB09CD48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6202CA6-67E9-41FA-846A-5FB8A5EAE04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123364-64E5-4DF1-B600-D86A19A5154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4033061-7125-4CE5-963D-064A99253BE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C2F7B2-88C6-4259-89F4-0EF626B1C7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6C06B7-31CA-4FC7-A42D-C6850E8FC3D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F7A5968-B4FF-4214-8EAA-CF49B6B2EA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A9AF6DE-2949-4B22-9F13-388A6B12809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E21C369-9E0E-49E9-A392-49425CA73DE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7447F25-51B2-493A-AADD-7249A9CBDD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F4D959-173B-4137-85B0-80D534B3D32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1DD1E7-D75A-453F-82BD-47F1DBCAABC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790350-79C1-4106-BCBB-0B2A7A52FDD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C5AC9D-957E-4AFF-8E00-A5A5B22293B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99DE09-18BF-45B8-BF76-8D8C005AFBF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D6668C2-D268-4933-8087-E39463CAF62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E0AEB27-5BEF-4D9C-827A-000289096D9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D202C58-7F6E-4BFF-99EE-E019F451B0D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54314C6-AA80-45E8-BC81-0FB2463F0CA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4973F4-629D-4C1E-9A46-234927D7D6A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5BFDB93-8E93-4C91-BFEE-23B81A45E1F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26913C0-8948-4594-A902-3DB500E4F8E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252021E-5AC7-45F4-B931-564DD4BF8C2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D7ED95E-79E7-47A4-A84E-BE8E530C35B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D6EDA8C-ECE4-4F52-BABD-8EA110FB62F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1E20C20-248F-4664-B8B6-9C6A55C9939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1705605-43EC-4A45-83CE-17ACB8BD48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D6C4641-8670-42E9-8AFC-D8C2FE8F42C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C8A129-01D3-4995-B12D-7540B1F9A3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DE2D298-4A97-45EC-A361-959BE61A0F2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06CD302-F9F5-4DFA-A568-03F17DC7F7C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2519931-12C3-4F74-A3B4-EA59590068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B3EEBE8-0587-4D22-A6AE-D97548BCCC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A48DF0A-E59B-470C-9332-016A889D058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9DB6490-42D4-4866-AB4A-0FA4F11AB0C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36EB72-7C17-466F-B942-5E9F6C5F5AA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153874-7912-4878-AAB4-E6AE9B89112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04C757-71B4-43C7-960A-E91D5F59D35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364BE6E-2518-46FD-AF8E-A9ED9B4D66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40651B8-9487-4FA0-8BF7-0729539220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738B138-82D5-4C25-8BF1-526E5B76D8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3A48CA8-06C2-42AC-9BFE-B97D742901D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414694A-A018-4A3F-8A5D-7AF2D39B76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9112771-A2FC-4903-9959-CE5613ADFBF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1603BE-EE55-4AD8-A2CA-B5BEC1BBA7D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D7C7810-BDC7-4B24-BECD-EF3B078B75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20FF29E-56BD-4AAA-B7B9-BF18FA31B93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36DF3B7-6B60-44E5-B628-6A13CCC93FF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92C5A1-134A-4CCB-9805-6C32C5F7401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57B5FBA-3CDF-4CCF-BA5E-BCA9EFC6A83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F8226C6-BE7C-44E2-B195-68D6977360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1D682F9-B1DE-4D37-9A19-2F27FAA409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05E1C54-FC1B-4811-816A-EA2EDBFD823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6D75FE8-E296-4DF4-90C1-AA80550CC9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43B30C2-6862-4386-ADA2-F117D46608D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212BB50-3A7E-4DB6-9EE8-5898FDD3CE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59D01CF-AE54-4B6E-B1AE-FD629B852A0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DE3C5A7-F221-4270-9145-4F66B03C1C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3E158E2-0937-4C6D-9D6E-2555D8D5BD5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8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4302653-3C5B-48BC-BD3B-7854BD34C7B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8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2FD57F6-41B1-4B92-9F68-FA2F2FD4EA1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8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223BAAF-680E-433D-BFE7-5EA27074C9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F7DF5C2-7143-43EE-82B4-DFFDB378E1D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A48C392-3DC0-47CA-A35B-D9C6746DAA8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0826E1B-670B-4D09-B8ED-C3FE2BA6ACB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7089696-D2E2-42D8-AA42-B9CE6631DCC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481CC81-0400-4CAC-B855-FAC17E1E1C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42BCB6-AC9F-4D5E-B33D-CE372A61429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0E239C3-FF5B-4775-B4F1-999A6A6C575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DE1D323-BEB1-4F55-933C-D991A633EF3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0925DD9-44CB-4081-B85E-2EEA031F3E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E447E0-10F5-4FEC-90C6-5EDB7412FFD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E38C419-ED38-4B9A-8E21-F9E98187DEB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1A8FE77-A512-4787-8D02-DF8CF3F0CA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CB08117-FB4B-4E12-98F4-3ED894C8970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1D6599-B9A9-4371-9503-0C145A3A736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C24FCC1-DFD1-40CE-9666-AC4BB06E307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C4386D-68B0-4590-9FD1-1773A06B866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6ECADEA-6722-4EA6-9AA9-A115182BEB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E44B85F-EDB2-4162-81E3-155E41DC7C0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84F23CA-CF15-4E32-BDD7-003754600A0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389B41-5F5B-4502-BB70-11AB90CD49C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F24E701-AF89-4C7F-8ABB-944507DDA4A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8A94EBA-7BA2-439A-AF83-EE130FFD69B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16429AA-687C-444F-90FB-55E1527E84C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0F0C09-AD38-427A-980A-58635ACB593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BC846DC-004F-4AA4-B8C1-0CCCA2BC587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82A0191-FDFA-4B09-8189-8B2762217AD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05C93D4-637E-429B-8DD4-77E1FCC930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F176DCD-59F1-4481-9108-2C8497187D6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62BB63F-FCB0-4654-A221-16AD3DBD8D2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6BD042-B24D-48DC-A008-F9F6295317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261F82C-2BC7-4651-A92D-63CFE36ABB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767DDC4-D5E3-4219-9983-325B2A65EE9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4AA9998-0BB6-4965-B9C6-4616D3D5E14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ED88122-4365-4FBB-A484-2C6B2E31DDF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5B28ED0-239A-4BED-9E52-1BEB1CBEA7E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FFD261-7D50-4F4F-BB72-6464D70249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F79A186-71FE-41CC-9875-02F8EAD3910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6FD6C5D-167B-4A88-8899-165F10290B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0BCE209-3C35-4F20-94EC-E49B50453B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DE4D4F4-9AC1-4301-94D2-1A9FA833F8B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EE7C791-6757-481A-9992-24CD78CB5C8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38F2A55-99C0-47E4-80B9-9AB6B5FA41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E761900-6E37-40CA-9E6C-B47EC92B7E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313E4E6-1118-4496-BB77-064CC5BC446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4118801-B3A8-4C00-AF2B-557E3753B4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15557D5-A4ED-4C2D-B8E8-329FDFF68B8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8E18EE-4351-480F-B4B0-A642746F71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C232E22-7EE0-421D-971B-FCD73EC156C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A24E81-2B65-45DE-838B-A0FFC8B2C27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3A92A6C-21D0-480B-B560-BA6675D9DBE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1F6B119-BA64-42FC-8CDD-97797259ABC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3E062EB-E4A7-4C50-9BB7-EBE3AEDFC79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CDE83F-4257-453C-B258-DE7D418F383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3D73B2-296D-4A16-9E6D-72CE554341A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CECF39-D8C9-466B-8EE7-E554CF439DB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116C3DF-E64C-4C03-A919-66CD2F9ADAF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640E358-0E9C-4F05-8E63-5CA6263BB84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66E53CB-63A7-4934-8B53-8525B687FAF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C691653-40F4-4843-8A41-A072506F768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2EDC55F-9A19-4C49-9658-255EE836EFC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34ACF84-D094-4085-B518-44C385B5FC5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5962D13-B5B3-424C-9DFC-D7727B84BD7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964B29B-96B4-48FF-832E-14EF1AEEA12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1140BD6-B9D6-4824-B07D-D9D6989B71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AA68160-9BC7-4EF8-8521-145F0B67A94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7DA9CEC-6BA1-4E87-83AF-3B5A0659D4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C12136A-E56B-44E6-B0ED-4CCD9E71FF3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C25BB75-2684-400B-9C4B-8F9E9148FF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746773E-BA00-439E-88B6-B897F27446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611C5E0-407A-45E2-95B2-A1059C1B236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EB8A95-A0D5-4F6B-BC38-D597CE0DD94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B0C27E0-4A73-45F7-B360-9059F4186C1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859C67E-649C-4CF3-B9DC-8B86CD23BEA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DACBDEF-FDDB-40D6-8109-F55F21D578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0CB71B-C0D8-4A8B-BFBC-CD3B03FF3FA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FFD52A6-5271-4B34-BE86-87180D03B58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0625B62-EE57-49C2-98A8-EEA80BB58D6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2DA7212-F132-4C50-AEFD-E5D1AE2D6C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7FB4DD0-77CE-4CCB-A773-C81A2B360A9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231DB2E-C4CF-4842-8EAE-303345900E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1339221-F0E8-47BA-BF86-8660F510F00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5FBF753-2958-4F94-AACA-4230BD1D5C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7AC144-24A5-4D7A-A0A2-B1F53ED414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232BB8A-E897-4CB7-BF5A-445B2B2E2D7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238A26E-6A39-42BE-9205-8CCCD14E806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356FFC5-7729-4A91-B040-6D35A2A751F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6FB3C53-CF7D-4918-A02C-BD82C62EA4F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67F301-3256-45EC-A388-CBF82C4095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9FF260C-BBAC-4C39-85E7-7376146176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812D30D-C554-415B-9B1A-EEEA51A5EC4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6C82C07-1935-4825-B936-44704AE14B9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E5AB23F-3681-485F-883D-20C418B9A64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F5F8290-59D8-4318-8EF4-460DF4CC397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3618B68-50B4-47AD-9531-88FF7C8D791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DF961E3-9121-41DB-89E5-3B9EB7201C9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8526ECB-CC16-47E9-B313-FF11DF792E5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F4DC41E-ACB8-4BAA-B6E8-26095135E0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9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1DC883F-D191-4CD0-8BA1-0431D1E6FA9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9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2DC6EEA-2566-4BED-9F74-0331C66384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9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30F47F-8F53-4B2B-9157-C22428C8D81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01E43C-49BF-4170-98AD-8DC447E203A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24C7F67-5449-465D-991B-EE01857090E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FE15044-82DD-4B29-8546-D435CE8F2F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C3FBF31-13E6-4692-8699-3F73902930C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AD6BE4F-2185-42A7-8F07-223D25A5291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224B8A6-21F2-409D-8EA5-99FD5F4F14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CAA111B-7987-4744-AA51-372F577B504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5CA8BD2-FA25-4A37-9165-4DACE4E012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908B5EF-3E03-40C3-A058-07F1DEF4782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BF4F22D-997E-49A8-955B-5C81EA933AC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D0371E-0456-4D1C-9D9A-153142C496B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7F99C37-4152-4CA0-9227-C50E33B9F0D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CACB03B-2EC8-45E8-A012-AF3BB2A1142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43F204B-7043-48D8-ADB2-916516E14A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C0F6454-21BA-4B6B-9595-1409656C36A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B98C538-C4F8-4A7A-AF2F-9712420FA9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BDE012-0EEF-478C-9754-E26DD527ADC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586590C-5AD5-4D48-AAB8-3F015514AD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AFA219-2731-41C6-B374-2E338E27AB0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E9820B6-0EEC-4274-B277-758526D682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6ADE54B-C237-4C09-80B5-5E94D706D82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EBE353-FA7E-44D2-9622-B457FA30D0C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99E3BAF-8213-420E-9A76-A8F275FB92C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195FCD-FE00-474D-B2E4-589865FC52B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5B34D12-4DCE-408D-A734-8959965976E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5885618-333B-410B-A69E-4CE386049E5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8769759-11A4-415C-A7B5-C269A27D8A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3D4CA87-283D-4A35-BCE2-E10D36EEAE3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3E3A57F-1DB4-45F0-A896-F1135D113D2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8385806-5F86-499B-BB6A-280ADEF5901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FBE856E-B9CA-4035-B31C-8461A57D414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420FC32-923F-4731-9F78-29F1770780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62D39B8-4CDE-4DEF-9EFE-8E2F0B90510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2854B8-AAC9-48A8-9578-853D38EB87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A1FA50B-0412-4FA9-8DB4-2F134B8C7BD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2087E97-7893-4495-8DF4-873DC67B64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F98C62-9BB2-4E3B-BC75-178C14CF4B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E068720-6017-4A74-967F-4257C3894D3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60F75A6-030B-4F1C-9A5B-45AC5188E8B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2C2A038-3A1C-4056-83CF-4EE028F986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604733F-E1A5-4ADB-BF0F-33BE7352A0A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9FE5D8A-09A0-4CE6-BE49-5CB1266363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C96A56-0BE1-42F2-A95A-03855FA07FC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B98BAC-8CDF-48AF-AD93-F49B4B08041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43AFED0-B061-4531-A158-1ECA5910666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B95FFC7-CCAF-4BCD-99C5-86214EC6A57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8166DBD-6E95-4C2D-801D-C7EA76CE697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B8B577A-580F-4E0F-B46F-6F04AF36AB2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96A6F63-2F23-4A8A-81EF-922E5211B50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6069BDE-F9DF-43D1-83D0-849F8F537BE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4550F03-D507-47A0-91AD-546C68569D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83FECA4-ED84-4336-96DE-D1559432349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DB8B129-C68D-4650-A211-485322DC0CB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EAC5DAB-0636-4A28-BD6F-1B8FBA0D06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5FEB5DC-BC1D-4000-8059-F81F5933644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FC89A6-1080-4573-853A-9D3B67135BF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E0A0CE-A2B2-41D6-AAED-A77BA7BDDC7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4D656C2-8F59-482E-9EE4-FBD10AF1C91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271760-038D-4FA2-BB5B-184AB9D7652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82DB7E8-1373-4483-8DB5-30160A6F5C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5018D96-430C-497D-BCF7-D70DCF8B35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B59A721-2618-4BA5-964E-50B8D8657D1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842C2A-637C-4519-9279-1E10E762C1B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D6EF286-B5A1-4E03-B9BB-277BFC644C6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E4C8314-DA97-4ECF-9171-33E2D324470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6BB5DDB-CAFA-4F25-B6A4-9DCB08C88B8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16B052A-0170-4FA1-92C3-4973FA45218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AF74DDD-E64B-4BAC-B4CE-54F87B79FF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7C4FA6-96F5-49AF-8798-2CC0E72ADC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4F823E9-8E08-46AE-8349-AC6B268839C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749CA54-FCC0-4827-A300-953D604DBCB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A581707-A1C8-4795-9FE4-79E7E0DDFB0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8084236-94BB-48B2-B0DD-59EA7AEB7D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F4E62F-2BC7-4332-A3E8-C771A85E711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1F2FAC-ECA1-48D7-8CEF-E44CADFD24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79B31B-720A-4CFB-811D-E5D41159383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4780FF-930C-44EC-A426-6117531A89E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FEB11DE-5A5A-4DF7-A39B-D220A5E280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DB743B-B97F-40D1-BDD3-D647D6946A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00C6F26-E8E2-4DF8-AD09-E81876FB9DA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56FFC1E-C645-4981-92CD-0E7578A48C5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1F903D5-48F3-4EE2-8F21-9ABF45EECFD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E2DA6A-5915-4E0F-96D3-ABC01F674B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9D4C512-4470-49B7-B3B6-94984106829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B7C5EB-6318-4606-858E-C91883DB558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3AD1B1D-049F-46FA-8F0A-41CC7FF43E0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1E99FE7-2D4F-4EA1-93F5-6831C9D50C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3B1A24E-C978-4A7C-BC9F-23B3E3CBD05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624683-7A05-417D-9109-09FFD2CC6F0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78656B8-DF15-48C0-A789-5D97B12A814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51A78E7-C703-4E75-96F7-1C7FEB537D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A6BF39-82C4-4F22-A9CE-317FF4D3AB5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EB9F9BC-5700-4657-9D8E-EA935221AA2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5EC53C5-ABFA-438F-B31D-36C00FF01FD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164EEC7-1339-49D0-94E7-C8AE5517E1C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044FBE5-5EEE-4038-87FD-9B2716CB854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F4317B-1F25-4361-8F4D-E145C13F1EF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0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FB054CE-D978-4306-B4C0-AEE1E9AC636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0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D70E262-C251-44D4-B30C-0A5A54F41E5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0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477AE43-E5C1-4C8F-9E5B-B4E00EED3C4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BCB093C-2972-4C2C-B6AE-4CC6C4AF049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666B9C2-3720-431D-BC2B-51CF2034B0D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8C43E40-BD4E-43EB-86D6-B8EA44DAB6D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FC39A5F-2482-462C-83A8-9EBD9BD2B7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214543-E382-45CA-9756-D0D56DE06C0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989751F-A6CC-4914-A50C-54D26BF325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7412008-AC16-4585-B2A9-0B16BD889A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5E8DAAB-977D-43C3-97A3-F30213F7EB5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8D0C25-1146-45C5-8637-E6AEF67D72C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8645546-19A3-4274-8270-D099C17995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14CF46-5001-4704-A3E4-818C9B212BF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281DA7-CC7D-4D91-AFEB-14F08BA0EA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8E09BCD-682B-4DD3-B7D5-CB8F826691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C98A6E3-F5D8-415F-B89B-37C36BBC0F9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85886EC-52DE-49F7-B83B-A6566AEC10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F9A98C1-DC32-4A61-B6F1-13E89116346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396F7D-D101-45A0-A036-81C417B0AA6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5E69D9C-8045-45E6-9CAC-44F4B3BFBB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5CF5542-9A5C-4E7D-A79E-740EC0BB8E7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6328545-7112-486B-AE6A-1E4608FA7AE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1AA7CC9-E521-4877-97C7-8D97BC45189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7B6670-2151-4EB7-B131-76801C81DB5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392994E-E1E5-4848-9A5B-5A82ABB88D9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A3B3AFB-8C8B-4F97-B16E-43BB9BDC6A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44F75C-7773-4787-813E-256969C2DE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352343A-B1C1-403E-BF4D-BFC729EBB5A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4A523FF-5E5A-4692-9DDB-020BC3CA2F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9A9958E-6A6C-4A4C-9119-F022F5A34A4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FF917E6-AAF6-498A-8D1B-322C4625FA2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F02790-2651-49C3-9A14-6A4F513D37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34923</xdr:rowOff>
    </xdr:to>
    <xdr:sp macro="" textlink="">
      <xdr:nvSpPr>
        <xdr:cNvPr id="11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27B1476-1A33-4D0A-A742-B452B584B78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34923</xdr:rowOff>
    </xdr:to>
    <xdr:sp macro="" textlink="">
      <xdr:nvSpPr>
        <xdr:cNvPr id="11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63E81A7-6D77-42DF-8A0B-C528E61BDE5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34288</xdr:rowOff>
    </xdr:to>
    <xdr:sp macro="" textlink="">
      <xdr:nvSpPr>
        <xdr:cNvPr id="11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AD942E6-537A-4328-A07C-7075CB5C5C2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72388</xdr:rowOff>
    </xdr:to>
    <xdr:sp macro="" textlink="">
      <xdr:nvSpPr>
        <xdr:cNvPr id="11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EEAFD5E-8EF4-4210-98C3-E54001D8D9E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34288</xdr:rowOff>
    </xdr:to>
    <xdr:sp macro="" textlink="">
      <xdr:nvSpPr>
        <xdr:cNvPr id="11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E699CF0-0B18-4C83-BAEE-A5BB1D9CFD6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73023</xdr:rowOff>
    </xdr:to>
    <xdr:sp macro="" textlink="">
      <xdr:nvSpPr>
        <xdr:cNvPr id="11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AF2278-BBCF-4151-9AF1-BB86A9D53EF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73023</xdr:rowOff>
    </xdr:to>
    <xdr:sp macro="" textlink="">
      <xdr:nvSpPr>
        <xdr:cNvPr id="11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51642B3-81B5-40F8-A349-70C456012EC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73023</xdr:rowOff>
    </xdr:to>
    <xdr:sp macro="" textlink="">
      <xdr:nvSpPr>
        <xdr:cNvPr id="11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05F5285-26C7-4C1B-8CB1-9C8EB9C66B5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73023</xdr:rowOff>
    </xdr:to>
    <xdr:sp macro="" textlink="">
      <xdr:nvSpPr>
        <xdr:cNvPr id="11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694D394-3C6D-4FA5-BF37-1B161D07590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73023</xdr:rowOff>
    </xdr:to>
    <xdr:sp macro="" textlink="">
      <xdr:nvSpPr>
        <xdr:cNvPr id="11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F97B7D3-6111-4D73-B8C3-15358B97B9B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73023</xdr:rowOff>
    </xdr:to>
    <xdr:sp macro="" textlink="">
      <xdr:nvSpPr>
        <xdr:cNvPr id="11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39A16B3-C90C-4A60-ACA4-77E20BF5DB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4BEE9E-2720-4679-B33A-6AAD465C4A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77848B-B522-445D-BC1D-4692A35BA65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326BCBA-09A9-421B-A7DE-0E1C3689ADB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187594-00A3-4E35-867E-B09B47C504E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DFA606F-C339-40F8-B53D-46E051DF1BB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315B92D-2DAD-4AEF-936A-11B273540B1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745D5E-FAA6-4D98-9E5C-AD4702EC8A6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1B3B8AD-A085-4449-8B9B-FBB5D1CEF9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CC9233-BC96-441A-B286-ADF4B565334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2C59036-DD94-46ED-8EA4-7E927D8A03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521B876-702A-4CC5-80F6-BA11E55E665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959D0D8-BE68-42E2-B3D5-C65D627D974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9AD678-0607-4A15-BE6B-18F5E7D4F0B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027AFC3-CF66-43B7-85AA-63FA15DD01C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297DA04-87F7-489E-BC7F-015C265B81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6EA74D-2786-4F63-BCE0-EA296DD610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3B49E08-1E06-4AE9-8B6C-FC34E8D58F2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3A0790C-A177-4C49-98E8-608F8DFEDE9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31F57C1-B54C-4EEB-9133-EF15B4A146D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38CCAC6-A3A9-46B7-AAD9-F3120C76886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B10B2D8-994C-4901-924F-E34BDD61649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53C08A3-0753-400D-B6B4-030FDE26D7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8DC9536-7740-4683-A241-819BCB39624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DA83D81-0D41-4344-8BE1-C2EAF6C56F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BE0A2CC-5418-4FF4-BE39-B16AC290C6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1609561-C1A7-499F-ABD5-220EF0F6F8D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DF20BCC-A88B-41B0-8F59-AF403BC837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B5D08A7-E079-4315-8756-7B7EF21F8E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7919A6-BE37-44DF-A1CC-F08E9DBDE5F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8A7D83B-ADE1-4A8B-8438-998D81772A5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9560614-84D8-4227-A7E8-9275A514924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33380</xdr:rowOff>
    </xdr:to>
    <xdr:sp macro="" textlink="">
      <xdr:nvSpPr>
        <xdr:cNvPr id="11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B4820CF-D696-477B-8135-D906213CF3D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71480</xdr:rowOff>
    </xdr:to>
    <xdr:sp macro="" textlink="">
      <xdr:nvSpPr>
        <xdr:cNvPr id="11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79CB17-43AD-4A04-9E09-07314F91C37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33380</xdr:rowOff>
    </xdr:to>
    <xdr:sp macro="" textlink="">
      <xdr:nvSpPr>
        <xdr:cNvPr id="11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4CEF258-02C3-44F9-9A29-F0DEBA047F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1A8A225-AA96-41BC-8A00-A9D9F5057D2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1EE6EF5-4BB8-49A4-BDD4-02A3962670C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9408351-4578-4B19-A951-97E71A7E121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4991FFC-EECD-40D4-AF87-15EE7CBA0AC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1CAC01A-7D25-40F5-A3CD-1C80719A5AB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49B74BD-F89C-4C37-A9F9-7EBE48989F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4DDE64D-2B06-4919-98B8-47C332584E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36FEF73-C98A-4A63-A9A8-84B20BFC7A4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330B40-C06A-4134-9DB1-46D8ADC6669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B27B52D-3705-4466-83B7-07DBBD01789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33380</xdr:rowOff>
    </xdr:to>
    <xdr:sp macro="" textlink="">
      <xdr:nvSpPr>
        <xdr:cNvPr id="11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8D4060E-9DCC-4F45-A4B7-21D440ABF6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2AEF6A1-01E2-4635-AAEE-45D5E38A00A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724B6F5-B070-4471-901A-57972438493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D6DDFB3-A9C9-4A16-84C6-ACAFCCDC74C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25BBE3A-CC8A-4771-900E-94B900FDBE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451BC97-3CE9-4445-9DBC-B71176F9CA0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66DA2FF-12E9-4C0C-8E1D-BE134C42BC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D3B4850-2E9F-470E-9B96-30333E5A271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33380</xdr:rowOff>
    </xdr:to>
    <xdr:sp macro="" textlink="">
      <xdr:nvSpPr>
        <xdr:cNvPr id="11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B95390-FFAE-4A79-8896-CE927EA11A0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74D0C03-F8AE-4F72-AB01-3DE72BCA0D2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12A162-98A3-41C1-915E-768C8CE8BA4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C9CD21D-66B6-41D2-BBED-43E5E8C1B8E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1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BAB5F51-C598-464F-BF59-EE3F7B1EC91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1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0C6A72-F99B-4983-BA7D-C97E702668B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1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D127A7-14FE-4065-8A35-16ABA8CC58F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961B215-EE5F-4E25-9CD2-A2829F94AF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C87A483-7DEF-44DC-9AB1-F2C01B1B280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1233305-523F-478E-87FE-FD48E9C91C2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B6F3D4-8771-4869-9E95-87D4D2C0D06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B1BE125-1ACB-48F6-8F2C-89C9DBE7C70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B736801-FA0B-4141-96B0-4B5C204CD4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D967ED0-7613-4249-9598-D8BEC62E1A0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C0F925A-BF69-43F0-A66A-125A9994459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E1E5F0-2AA0-4DB2-B787-F4679BF0DD8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CE95F6-46D4-42EB-97FB-60BE15A512A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09408F-92E1-4171-8604-153A98E7F5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72297</xdr:rowOff>
    </xdr:to>
    <xdr:sp macro="" textlink="">
      <xdr:nvSpPr>
        <xdr:cNvPr id="12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27E0F27-4AD1-4AE6-87B4-6913483FB00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72297</xdr:rowOff>
    </xdr:to>
    <xdr:sp macro="" textlink="">
      <xdr:nvSpPr>
        <xdr:cNvPr id="12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C1C32BF-C768-498D-9007-4CEE70C4700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72297</xdr:rowOff>
    </xdr:to>
    <xdr:sp macro="" textlink="">
      <xdr:nvSpPr>
        <xdr:cNvPr id="12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9E2235D-CF52-43B2-8A4C-EFEE3F1C288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C42D731-06DD-4E61-95D5-D9DD1374E0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37F6D23-3842-492D-9172-1C99C3899A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F5CCCEC-4B9E-4DC4-AA3E-75D103FB134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AE5C31C-91D6-41D0-8F1E-B6C75BD3549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5DFF2C4-0215-4FF2-920E-ADDF1E6ADF8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F11418-BE2C-472E-B9A3-63686114861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0CFB30D-4A5A-46B1-B0BD-C509E81309F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FB462A7-7F36-4726-BE5D-26EFF48E68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4D31F1-D67B-4796-8736-E24320FAAA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4545BA7-6591-4709-98FA-DDDE0377884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72297</xdr:rowOff>
    </xdr:to>
    <xdr:sp macro="" textlink="">
      <xdr:nvSpPr>
        <xdr:cNvPr id="12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2E3F0C0-5C3A-41FF-B087-5002C7E8E10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E96F01-D43E-4AF3-B23A-4985192BCA2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F94F91-BB43-437A-8ECF-14028A8D6B2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5731EBB-8FC3-4C55-B834-F1F35F483E2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4F1E7A-85FE-474A-AE78-186500CB064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FA4E5D5-B47D-400E-933B-109F6D22B22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EE44537-3805-4ED4-8292-3931F5293BC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57E245A-383B-43D8-804A-461252983BE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72297</xdr:rowOff>
    </xdr:to>
    <xdr:sp macro="" textlink="">
      <xdr:nvSpPr>
        <xdr:cNvPr id="12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E8A567-2C52-4E44-9C85-027DEFFA2F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11B5EF9-DF9F-409B-B032-802D665CD70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62E8A29-E20E-40AA-B352-977468B9FC4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80AB64A-170A-4FF8-8EF6-FB69BB46862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86CCB7D-C02D-4850-9B6C-DC81C0837F8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2C0C89A-C10D-4E57-89CD-A9BF08A827D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1020202-1B2E-4B6E-B785-2F6AE6B2B07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91CF21-1F5F-415B-845C-B1B68E9B93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4FFD66-8313-416A-865A-A54F42CEBDC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7C1A08-62BA-43EC-BA35-175CC59AF4F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E0AB971-49A5-46DE-B40E-0CCD5DB6319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A72E265-685D-4B01-B092-18399C8E338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8AA23E6-5C13-4EC9-BD27-8FC553BBC9C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29E4E2C-ACCD-42AB-8492-2C14F1D0B4C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BB94EF-2399-488E-A6BE-B2B945B443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226D918-1E0A-4E52-ACFE-94D7940EE3A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5E8943F-8852-4BD0-9959-9C81BEA365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1D57E30-CF8A-4B20-BB66-17154493A6A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60BEBB5-312E-4DB4-8A25-E12A9612AE8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C839C3D-7F14-4113-B355-4C24F476591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2D4B9F2-1A8F-4456-99FE-0FD9EDC9F33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B59960-D958-4864-B419-C9330D2C40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5F2BAC-832B-492A-ABCB-903F6C6A01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72508</xdr:rowOff>
    </xdr:to>
    <xdr:sp macro="" textlink="">
      <xdr:nvSpPr>
        <xdr:cNvPr id="12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B4E41D6-7030-4A6C-B5BE-3D4F6239940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72508</xdr:rowOff>
    </xdr:to>
    <xdr:sp macro="" textlink="">
      <xdr:nvSpPr>
        <xdr:cNvPr id="12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1ACF3B-CFDF-4EE2-8313-428563B6CB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71873</xdr:rowOff>
    </xdr:to>
    <xdr:sp macro="" textlink="">
      <xdr:nvSpPr>
        <xdr:cNvPr id="12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8387D9B-1392-496D-8B7B-C9D4293ACD4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9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85E96FD-72CC-45F2-8F99-E11A6D7AB14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2CB6EEB-E0D3-4440-BAB2-C37C1A43FCB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E57598-0A5C-4C43-9220-D7A178A4978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DA90927-AC21-4EB1-B2FA-6D6040925E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84983A5-591B-4D86-A47A-25C78889848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20DB55-1AB2-48AD-BCAC-63BD1366045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34832</xdr:rowOff>
    </xdr:to>
    <xdr:sp macro="" textlink="">
      <xdr:nvSpPr>
        <xdr:cNvPr id="12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150B3F2-C65E-4655-A6A7-8AE5D6AE8E2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34516</xdr:rowOff>
    </xdr:to>
    <xdr:sp macro="" textlink="">
      <xdr:nvSpPr>
        <xdr:cNvPr id="12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093A83E-B703-4059-A0B5-202159F5FF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57E56BE-558D-4B22-9E57-D6BAABB243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1EE36C1-B89A-4135-B893-D3D7477DA0B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298D3C7-EA3B-44AB-AF7D-9C0BF0F204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AF9676A-127E-4384-BBF5-A057CEB30D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A8FA989-B808-4253-A27E-5419E0E19A2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D35854E-B98D-40F3-A236-A34996B7480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86A5A68-0A4A-45F3-8305-8D88AE901D5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4A2B999-84AD-4E2E-8D2B-BAC7CF42B9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FE7D399-60E8-443F-AFF1-FC3E99AC972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25813AD-9015-4A9A-9061-2D2B1317DD2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F5748B9-2155-4E83-903D-FA11BE55241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FCD18E0-CA16-426A-8F43-14B89F483BF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16FE41A-DEF3-4302-B9D0-0D5E6D470E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86B9709-0A4E-4EF4-80AB-768CBD56B7A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825A37-E9E3-4CDC-8976-2E3DDAA411D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6E81CB3-E11A-4F06-9F1F-754E7984CCD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73250</xdr:rowOff>
    </xdr:to>
    <xdr:sp macro="" textlink="">
      <xdr:nvSpPr>
        <xdr:cNvPr id="12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66ECE4-2C84-433C-B4D0-946DB1E142C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71661</xdr:rowOff>
    </xdr:to>
    <xdr:sp macro="" textlink="">
      <xdr:nvSpPr>
        <xdr:cNvPr id="12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ED7C9C1-32DA-4435-B570-5052755F674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33561</xdr:rowOff>
    </xdr:to>
    <xdr:sp macro="" textlink="">
      <xdr:nvSpPr>
        <xdr:cNvPr id="12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FBBADB5-4A5B-4B0F-8BBB-BD4905637DF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1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931E864-BE6E-43AA-8E0C-99573E18F6E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67C33CB-9B5C-4158-AA21-DA56CEF5FF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7662A02-B7A6-456B-AA4E-38A25F166C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0CD4009-DB24-414A-8DA0-44516D36A8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2DB487-480A-4969-AB67-F0CD66BEB2E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326B5B8-32D9-46F4-A9F6-5672D2A004B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CFE237-BF4A-43A3-A138-535C15012F8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2504896-AD88-4E64-82DC-94120FB48B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BC2A43-8407-468F-934C-F8DB419D449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5686EB-7E3F-4C4C-BE7D-5223E95611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33561</xdr:rowOff>
    </xdr:to>
    <xdr:sp macro="" textlink="">
      <xdr:nvSpPr>
        <xdr:cNvPr id="12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719E001-B735-476D-90DB-FC8A3A532C1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1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5D0D31D-E218-4554-8C34-40CFF5964EF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2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7EAF321-9D7C-4E89-9409-8BCB2CCD997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2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CB41999-41CA-4D1C-B1D8-9D440CEEA93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2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CD5EBE6-0539-4A37-83DE-7B53F5591D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021BBF7-2722-41D6-9115-FEE5B9E7894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E08E19-A8E1-4738-B6A9-AE33D3B645F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09BA7A3-1401-4ECC-8ABE-D658FAA536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33561</xdr:rowOff>
    </xdr:to>
    <xdr:sp macro="" textlink="">
      <xdr:nvSpPr>
        <xdr:cNvPr id="13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8DB755D-4E34-4E55-BE74-31BB1B0B9D4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1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974E4F1-BB15-47F0-A696-AF07BB25A64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DD4EF0A-6268-4052-96D3-B52E35D229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FA9F32E-14F8-4BA4-9565-4768494A3C3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73905B2-2963-48FA-AB1F-7E8562E0D7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D6567B6-08A6-46A9-A283-FE0128C2426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44D1481-BB25-436E-8B30-32FCFAC2436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E07DC94-E437-49A2-A698-1E1337F4FCA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172BB0-4FFA-4906-B26C-E58AFE8D58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3041188-63E2-472D-B366-F3D03559DE6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1DC25D5-C573-455E-9DEF-C77DA781A80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5AFDCFA-2A89-4C76-85EE-73FAC884CE8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F741E9E-1639-4E05-B4AA-E6A0BF5C51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E55A243-DB63-49C0-9B76-A02D053EEB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17E924E-05A7-4F44-82F2-C7CE4AE098A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5D32309-D227-473D-9569-2DC0BFA24E6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673579-F565-42AD-BE9C-2AC6FCCB91E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F7DF421-16F9-44EE-A645-D83323C9A4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E4C3C05-3AED-4526-B608-D73A0150B7F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2812E08-8B27-40CC-B55D-06CE829A320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81ABC68-D922-4877-B9B6-DC9AFC14494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9514FB4-262F-404E-8776-CF47BB93CD2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E41516D-E428-4149-9011-2A994AD5394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16B2336-62B2-4305-A366-824FDB3CBE0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454F245-270F-49B6-8D26-047E210CC34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0F746A6-4099-4771-9D7F-10885AFEB74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BE95964-06B6-46C3-BBDD-5D745F9B3FB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4741FA3-57AA-40EB-92F5-80CA1C69857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D6AA900-D4A5-432F-90CA-A86567D8EF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49B0FCE-851A-440C-BA25-FF3FCFD143C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7E71628-DC3F-4FCC-9C91-53E85BB46E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66101DE-4A8F-4ED3-A638-685EEEC97F9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B5A034-57D2-455D-A620-55A509C54CB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36FD94E-B4A4-48FA-9521-D0BE40EB4A0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A4BA43-5CF8-4ECF-A9CE-8C5D110476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00CC0AE-6C0F-42CC-B9BC-4AFC48F6DC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A068B35-8266-49C0-ADE8-266D35145E6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7C4D3EE-D1E5-4E7A-9FC0-4AD996CD19F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796D3DA-22EB-4AB7-9193-9D91F22BFE4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41249ED-1A46-4D3E-A909-D5AFC282CE4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5F08B67-C04A-468F-8221-0F5E02322FB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D4D2D75-BF6A-4ABE-A114-086EF0ACC63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2BBAB09-AE8D-460C-8985-433FCF522C5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A3718D9-C75B-4F1D-997E-EE3E962EC4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C30DE0-D41A-402F-B9D7-F01C3162C73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AEDB99-4F37-4591-A9DB-1D46683607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AC58F9B-A69D-43EA-8226-3715A0F78B6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0092B41-5C3F-4A1A-AB4E-9B2D64213DC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6AFD508-CC91-4C9F-84CB-B19EA204017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AEF2ED-D85D-4D23-9884-91FCAAE16D2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485ADD-D7D5-42F4-B50F-BA08035548D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2AB8A6A-D8A0-41DB-8222-C56E16EDC24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FADC1E-CD59-45E5-8D6C-B451EAB576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DDC716-867C-4472-BF46-212438F981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667381-328A-4B53-B1A6-CFF2D93FA33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A58611-9089-4775-9933-38E7563C6D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BEFF61A-E61F-492E-823E-653F3714F89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AAB1E61-CEAD-49CC-8D0B-64208DACFB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74B7B47-2411-46A2-AD96-A845341F88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8579447-A1FD-4002-8EFD-F4769C9AA1A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DBEF051-9804-4E83-9378-A9C725DD272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B5C3A6-8E34-49D8-9550-4562A2FBAB1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36449A0-C425-4CF0-AA99-1FC8CFE269E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35D5C9-14A4-4E6C-9219-DCB9B7D5E62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A00030-5093-4DF9-B388-2490BD07D03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D7FA0A-6182-457D-BD16-8F943A0C449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D9CC46D-C43A-45F3-84F4-461FC53EA27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72FEA7-DF2E-4302-AADA-DEFA6005D7E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51D749-F5F5-4EC0-8F01-2E762EB6BBF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E2F785-ABB1-437A-AF69-A66A8D8E875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1D9F02-2EFB-4843-A8E0-7B90D256FE0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F736449-C088-4629-8BAE-8A56D279911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CA7A9D-6724-42C2-B0D5-ECE4F192C2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94B873B-9D53-4B38-A262-D1E95EBD6D1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0B9A580-44E2-44A7-8961-4961369944F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91C289A-737B-46C0-9261-2009E7DB49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D34137-A2EB-4B20-800E-739F5DD2EB7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B0AD9FA-26E5-4676-AD48-1B8919738F7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21C2F0D-29DB-433F-870F-E11C902AA10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1CCB8B-EDBC-4562-BC1A-7A453981AC8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5C39960-5DCC-4279-BD37-10FD0E9E9AD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A84E499-A1A3-4584-8EEA-3B1189D0923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A5C8900-1BAB-4DA5-9180-9586433AC4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6C6F1CB-6571-4C36-BF90-EE7CA4A09E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48ED7B3-8AC1-4A42-9AD5-86B3E1AD83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E253DB8-3BBC-4AF3-A9F5-0FEE0C02A7A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145D1E6-5C5E-4F9E-870D-A38F42CBEF4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A11BC95-2DA8-4E25-9DF8-8996112ED2D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48F0086-0820-4113-A6FE-C29003227F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3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44C45E-E5AA-421D-92DE-608A8E284D6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3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99ABE39-5A6E-4E36-B5E5-65426A6CEC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C3B714-0490-4430-9E26-59CFE25C5E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C7BB23-E43A-438E-99D5-E3B8DA2F08B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F3096E9-9D03-4205-9BBB-EDC7EB8F86F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E299117-8957-4671-A441-1283AE54FE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3B4EB49-2D3C-4683-B1EC-226F6636808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3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7FA0D30-88AF-4210-B6B7-2693A8FA0B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90468B5-FD9F-401D-9BEE-871C1C59237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6C5522C-4BEE-45F1-99A0-744526A3885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D45F9CC-C3DA-48B3-BDE9-8FDFEE7391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92B699B-F854-4254-AEFD-D2092945254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B7EC5BA-4034-4014-B879-696DA80DF7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76DBD60-4E21-4360-888C-9AF03ABC22B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D282395-6785-4724-8E4C-69E9C77163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BE76252-46EC-4540-B239-6327FCB8A83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D89221F-F1EA-44FB-9A3D-5D304C4C85E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D19D91-8664-45A0-99F8-EA9216D530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610CCF3-D637-4487-8412-D91DA521B6F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383591-61FD-4F8B-B9FD-15B4F4BDDBD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512336-9814-483A-A82C-A1E9EA5EF0B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FEB2C8E-1168-4FAF-BFDF-FD9F167CC96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B56204-075D-4F4E-8C19-60CD8AFCC2B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A062032-AE67-476A-A870-985ABED49D7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1F6C21-1EF8-4A10-8636-5FAD4C0F1AE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252EF90-0A41-4612-B7D2-545F2363828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08C483-7D5A-4549-ACE8-6386786EC28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837622-A1D1-4515-A4E8-E713111660C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AB7A8FA-00EA-4ECC-B28E-F03ADD8869F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00B5ABA-DDBA-4A14-9AA8-60FF855BC97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4329F4B-4B17-4617-82E6-BBFB2B1A6A5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42EBA0-911C-419B-BF55-C2E26056B2C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1C7090A-F7A7-412B-B430-720E60A497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9229C5C-2F55-47EF-8C09-0D9792F222D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31B8DBA-B6DC-4E62-8294-143129EAE68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44DDA7A-26FF-4740-B140-6D92EE384B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DF0F0BF-BC27-4075-8FFD-217884EE1F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B0B2DE9-74B6-4BA8-81A4-8EDF840277B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48AD56-24A8-45DF-9BA7-AE029CA133D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6947FEB-E521-4F64-9B8F-E090ED95D07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62CC61D-8806-428F-BFA8-D60F5F174DA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656E1B-1B98-4938-9092-FC5B078A6B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73E2A4A-48B1-4CC1-96FF-729B58CC08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77BF69A-3AE6-4FCA-B186-9159BE4CDE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205B136-C7D2-4573-A36F-C103303452E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22B9E5E-207F-4A8E-B980-44296D7412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CAB532-B29E-4CF5-B69A-B1EA8AA4DA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A31929-3C18-4C0A-A0FA-FFA3020C3A2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F74825-534C-47CD-986F-826E5D832E9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68CF7A-5D59-4CCE-A985-49B0DD297D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232DAD-968C-4D40-8D1D-63E4CD9A337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6D7F1F2-12D7-4544-9ED7-ADF08E44F1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520A210-C528-41C8-9E3C-140F6FFDFE8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C48EDB-B1DE-4E5E-A410-6C6B93E0D4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D0A4CDA-95B9-4903-B8F9-6CBBA2A0D68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9D20F7E-8C30-4880-B14B-42D7D921B7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AC32A36-9C1B-47BF-8899-67385F5190C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D72DB7A-4E4F-46D6-A6F6-F18DE8EC657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13AA26D-A88A-42F8-82EF-662E7059899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BDAF08-C25D-4248-B128-7A82AEFACBF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AC1E4BD-2028-4ECE-8682-C4F918C0C9E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9F2BA11-9D46-49B5-9A78-45461B8634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3E10CEE-DAE9-4165-8753-47F1D5E0161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49DA29A-824C-4D62-9EFA-2C5A13FB76C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35EBA3C-6CB7-4933-8B16-12C92387406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2E9488D-2901-4A48-8E9B-1CA3C62D073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D941082-B598-4DBF-BC1F-A089A1355B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7C9BE1-4DF1-47B2-8E98-F29C284C49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1ACB673-461D-4717-AC40-CE2FABEE89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0B44D7-3C3A-4E9C-9F08-0466F393E5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C5CFFE-90BA-434A-8EC2-25A0989B020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6B72EA4-9C13-401C-A7A8-9E8436ACDB7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460BFE8-ED4B-4D51-9741-C7CF93DCE12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837B831-DF03-4116-8069-D10584D4D0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D035DC1-297C-4B88-97C8-91E8CF41E7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CB50EC4-D429-45B1-AD91-0BAAC43B7E2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6848EFB-191B-4A5C-9978-9B662377A18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239A9D-1E05-41D3-B8B3-73478487A90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3401DD-0F10-4F53-BF55-345458FCF7A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E11D4F7-8508-4581-BB8A-F8CA13CD796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7CBF323-EB1D-46E8-B0B9-663AC11B39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F60953F-DCE3-468F-9359-C348515ECD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A70558F-33FB-4E1E-A4D4-C33C2034EAA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341FDDC-F6BF-4D8F-9516-B699FD8CE7F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1A3DF98-A08F-4DF8-988D-79E07BC9CD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1F4AEC3-E064-4BBD-8DA3-3F9FAAC011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2F56EC4-FC9B-4EEE-8754-9F31CE2F6C3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D0CEA7C-A493-4727-9EAC-93A49BAA25E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84EDFD0-0FCD-427D-BAB4-1F73932CF77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03525BD-CD79-4BFD-80DA-C3C255D8AA7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BA129E6-4FFE-4885-97CD-A289F5070A2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41DCD4E-DC13-49AB-B756-806830F9F03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BDB2E6C-732F-4926-A5FC-CC1F6BCC1D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E98FAD-6552-4F51-9D5E-7C9C952F648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B34357E-8B64-4188-A504-FEED7B2AC9D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773921F-528F-4F84-9BA5-72F85614819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725B7EE-8802-4FEE-A294-3C22004CC9F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814D229-A882-4D8C-973B-139F7FB9E95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8B8CCF-E868-4BC0-A2C0-B7B83AF8B0D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56AB74F-DB9D-47D8-83EC-562421023BA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EDCF04-74D1-4DB2-A7EF-0A4F4C755B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9853F9C-2164-4C19-9869-1E54E5E751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AE405FE-6A5D-491B-AAF4-2B2C833D93C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D983E2C-24FF-4D5B-82C1-E7CFC2D5313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924A7AE-1037-4E15-884B-7F222899B56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4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CA650CE-3898-4739-8D30-F5339AE3B8D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4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E31162D-6957-46B1-8077-EDDAD273C81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4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C88E661-C335-421B-9055-DC140F4161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FA215D7-44AB-479D-86FE-0504317C8E5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41830ED-53B9-4DD8-971D-90FC491AE7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D404671-FA33-481B-BB15-724156FF985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07304B9-4D0E-4319-939E-BC060EF4B6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A19448-FD5E-476B-A608-0840184ABA5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B35F7CE-70F4-4530-B9BA-2C79EAA56D9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C6C9D1-8E16-41E8-9EDF-886867CDD3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5192746-C576-49FF-ADDE-B86B47E9E60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8660536-DEE3-4FB6-AA9E-B12913AB0E6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83C4770-7163-4675-8FA2-4C141C75C36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040EFEB-BECE-4B2C-AEE5-C6952A68078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B0EA197-F09C-45F0-B57A-137272AF235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6A4A1DD-995E-43EF-917E-08C1199011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14151A7-FFE4-405E-BA60-517F1B5C4F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9FD64B8-21F5-437E-ABBA-876F646CC5A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7C6D9E-F3A2-4C47-A5E5-09CEB8882A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59ECAC-FCB0-4F66-936F-2C9279A1C77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63250AC-51DE-4E9C-9DD7-6EE84673932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7AE558F-9567-41FA-82A3-66232D90771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5DB05A-72CC-4CF4-82FB-BE31A8372AB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0C98505-CAC1-4B29-8604-A7004EFF60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2E45E5-33F1-4B56-AC0E-EBFEA5402DD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E7FD6B5-73D1-4502-A773-B9BDD21B17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4666A6-0139-4619-83B7-0092C08BF2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D0D1478-ABDA-44F4-8565-9BF6033672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B85CB1-9FF2-4C48-A29C-F4B380CD9D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08BBD8-C9F3-44A1-B591-DF6552CDA5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82EDC25-AF83-4879-9441-1317756E216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238EBED-103A-4C34-8CB8-5C68625BBA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1E5314-3ACA-4DCD-B0C3-F2F3C172AB4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ED801AD-F40E-4746-9723-7E10B5A982D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D8A7545-C7E8-4E3A-A134-AACEF21C9D7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1108FB9-64A7-4FB2-B9D0-B72F19CAD40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100DD01-9404-4E77-A976-8B05D6FCF9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7EA82CB-ADCF-4DC6-A74D-D00AF525944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DC1B3FC-FF67-4EBF-B034-E53F9AF197F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1119E64-A526-40ED-B799-0D22D4D18DD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0F3B90E-4CA0-4E00-A29B-F65E50402B6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AF7AB7-7025-4CD6-A8FC-7E69AC2CD3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AB59B11-7A8D-4983-8749-2A8CC550B1E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A62E019-D673-429A-945E-655B40B7816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5F9D306-CEC0-4ED4-B206-0498DF0331D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BA7BF29-B2DD-409B-89ED-989AA792EDA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E1D02D1-5000-4ED2-867B-A4D23C06E2E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5CD376-30D4-49C0-939D-D0C808FD18A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D230A7F-5CD3-45A0-A6B1-0C3C7F1BD8F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16C8FE9-81E8-4CCF-8C11-E3F552E098E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23F424E-1DCB-43EB-ACB9-FA824F67A61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3378CB7-185A-44F9-BCB5-BF340D61D7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92B5A48-9ED5-43EF-8C16-33C35325292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E0C9DA4-0370-4CAB-8C74-482C93A90BD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CF06C19-CB76-4C82-86BC-D2173F67D11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177A239-9A51-4EB1-AEDF-EE9572289FD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3CAEE8C-18D3-43D2-8E73-DA90CE95F89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BB0806-F53A-4055-95FC-85038180963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FE0C6CF-19ED-46A8-A344-E3456C5C1A3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DB347E-6479-4DAA-8CE4-2F4145B2780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44BBD8-3BE7-49D2-854E-D6B728FB90F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F9F3554-B2A6-4313-9785-441D87B5493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3313DC-7BD4-41C2-9BBA-F8BCAABF04E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AF9BFD0-6E2E-414B-8437-D02B59FFE9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4725F34-769E-4699-AF9A-80AE357A8A0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4E9D51A-950D-4A7C-9728-94E96499A45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7A6FFFD-83C0-4C6D-BC11-E78C94610F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10BC673-922A-463D-836B-0B2BD4C851C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8486E2-74CE-4E3F-B667-33F0EEB8453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6839DB3-BA9C-49DA-A561-3039233DC8C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80E68F9-276F-405B-851E-40ECD7CBF2B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87B2322-7119-4071-AC53-DBB311B0B3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9FD0AF-D327-4A3C-B399-3C7A8D540F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6371285-B0A6-48A5-9AC3-C86128D664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0730E7-140D-498E-9811-11572F16CA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1BDAC84-C13B-4451-8D86-05ABAE6848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B81F2D1-6E66-4D8A-AB02-0F9483F7980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B3B22A1-EBC9-4970-BA2B-5C34366CF25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EE37513-46D6-4A45-B07B-13CAA8C0EB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A6BAE31-4B23-466B-9B18-4635F049592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641E65D-F9B6-4743-99DE-AB3C997EF92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C8CF55-B9EB-4FE8-8CCD-801E9B0B122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D99EFB5-27C0-450C-879E-59FDFCDFBB4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AB7C50-F2AD-4140-89B7-AFDCBDA0996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8DE0B23-8721-4112-ADA4-46A3C4C6EC4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9BEA4D-1483-4F90-8C22-3956A97329B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BE10256-D760-4945-B735-9DADE2CFFF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73295</xdr:rowOff>
    </xdr:to>
    <xdr:sp macro="" textlink="">
      <xdr:nvSpPr>
        <xdr:cNvPr id="15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96395E5-FC19-4D2A-8021-8ECD556704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109581</xdr:rowOff>
    </xdr:to>
    <xdr:sp macro="" textlink="">
      <xdr:nvSpPr>
        <xdr:cNvPr id="15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0871730-1A89-4737-B5AC-589DCA0EA33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71481</xdr:rowOff>
    </xdr:to>
    <xdr:sp macro="" textlink="">
      <xdr:nvSpPr>
        <xdr:cNvPr id="15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1E83AD5-2B91-410D-A03C-17A20C706F2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A5BE25D-02B5-4961-8A6E-B8FD8207B3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8F9D182-ED90-4ABC-B3B1-A577A9CA1BD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A960392-EF33-40F9-AEFC-C64F02E725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A5E0B20-E3E8-4F21-B975-F4225D92573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D1C055-ADD6-41DC-8EFA-0F589BE315E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3F6EE0D-4C30-4A35-B718-5BE494FF3AA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3BA2C85-F6B2-4B4C-A6AB-5D9507EB07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7EB8E2C-5AFE-4919-869D-957494905B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5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610A3C4-186B-43F3-B82B-083978A382E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6D4B375-73D0-413D-A8A8-4434892CD6A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71481</xdr:rowOff>
    </xdr:to>
    <xdr:sp macro="" textlink="">
      <xdr:nvSpPr>
        <xdr:cNvPr id="15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57A1AA7-B20F-416E-B78D-82A68336F6A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5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2300232-A905-4428-936F-E60941A32EB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5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8B2AE3-1F86-4812-9F60-F26A3AC920B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B41BD16-2C2B-4D92-9469-A8E32002EB5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3367BE4-D2C5-4236-B8E7-B4D3DF09DC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FB778AB-9D15-45E2-93D5-D5A287C2820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1E7FAAC-0145-4B70-B437-2122FBEC06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8FE32D9-065D-40F7-9805-C5BDF8A33E7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71481</xdr:rowOff>
    </xdr:to>
    <xdr:sp macro="" textlink="">
      <xdr:nvSpPr>
        <xdr:cNvPr id="16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5E15F8-FCA5-4C9D-9581-61E253391E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577C6C6-4FB3-439A-8535-22BED6F9956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35195</xdr:rowOff>
    </xdr:to>
    <xdr:sp macro="" textlink="">
      <xdr:nvSpPr>
        <xdr:cNvPr id="16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0FA63D0-9C46-4EB8-A994-02F5B5D1372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73295</xdr:rowOff>
    </xdr:to>
    <xdr:sp macro="" textlink="">
      <xdr:nvSpPr>
        <xdr:cNvPr id="16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960A91E-378A-4F6F-A061-F4190E32088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73295</xdr:rowOff>
    </xdr:to>
    <xdr:sp macro="" textlink="">
      <xdr:nvSpPr>
        <xdr:cNvPr id="16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83CBF9E-E09F-4DD7-97DD-C3C75E7EE2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35195</xdr:rowOff>
    </xdr:to>
    <xdr:sp macro="" textlink="">
      <xdr:nvSpPr>
        <xdr:cNvPr id="16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F5DAF98-ED9B-43FC-A8B8-966E68D5ED9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73295</xdr:rowOff>
    </xdr:to>
    <xdr:sp macro="" textlink="">
      <xdr:nvSpPr>
        <xdr:cNvPr id="16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050594-6F2E-4E5D-9A6E-096AB2BC0D2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73295</xdr:rowOff>
    </xdr:to>
    <xdr:sp macro="" textlink="">
      <xdr:nvSpPr>
        <xdr:cNvPr id="16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9D639F1-97B1-4F60-BE12-8E25CB21ADF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72660</xdr:rowOff>
    </xdr:to>
    <xdr:sp macro="" textlink="">
      <xdr:nvSpPr>
        <xdr:cNvPr id="16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1E4FA29-01F9-4311-B2DA-C7262163D40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72237</xdr:rowOff>
    </xdr:to>
    <xdr:sp macro="" textlink="">
      <xdr:nvSpPr>
        <xdr:cNvPr id="16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C0DBD33-7CDF-4E5D-BA20-5D2867BA14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72660</xdr:rowOff>
    </xdr:to>
    <xdr:sp macro="" textlink="">
      <xdr:nvSpPr>
        <xdr:cNvPr id="16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741BE2-7A52-4A88-B3F4-FACCA0FFBE8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DAF555-2598-4C40-8827-1A26C924DDF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1521961-1A3D-450B-93D8-576E88B3F73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88256E3-8899-4E5B-9FF2-40A0CA7C94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7582721-10E1-4762-964D-6EC41BF6D91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42FDE3-C5EB-41F3-8587-F0558DE20B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DC4AD26-C821-48E3-AEC0-D7229DB3F6C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2116098-71D5-44B1-8446-7A450B6F974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C968D64-D295-4928-BA16-1E76733242F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C6683CB-E008-4AEA-8B21-BA237C90254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533EAA-ADEC-4CDB-9F0E-728CD129FE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72660</xdr:rowOff>
    </xdr:to>
    <xdr:sp macro="" textlink="">
      <xdr:nvSpPr>
        <xdr:cNvPr id="16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07BEA64-C33D-4295-8540-D3A5A451C1A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EC8222A-BD7D-4E68-A872-FB84DAD2351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5079FF8-EBAC-42EA-BE0B-7D77DC786F5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749DB91-3D2A-4528-B72C-C7486257A8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6A444F-F248-43F1-9D33-07A42A3BB23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ECA19B-3A86-4018-B87E-A5291A49FF4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78602FE-D85E-4658-895F-70EB2E5D9DD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867B309-78C2-4D5A-8A67-DEECC3B2A4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72660</xdr:rowOff>
    </xdr:to>
    <xdr:sp macro="" textlink="">
      <xdr:nvSpPr>
        <xdr:cNvPr id="16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C2C7D6F-2026-4A97-875A-2DCD42F30F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3DC8BC-D096-499F-BD1C-C6168E925A8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05B178-65B6-40B8-9F85-2E0DAF6EB2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561D415-55EB-48E3-9947-C4B56F06B5B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BB6E897-5C79-42B7-B13B-43A7B10F275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1CDE99C-E49B-4E5F-A433-8CBD4EC2B4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1DE473E-59AB-46F4-AFEB-0399F39FA1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3CBBC1E-5F5B-449D-BE49-44938CE8315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23F9D25-0C8E-42D7-8131-E9F8705E2E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00755F1-4266-4545-A196-192F3EDA0E3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8A329BD-A66C-4484-BA6F-572AA06DEF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6B51798-70F4-4CD9-9044-3091958802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C1C44C-472C-4658-A8B2-C2A48E5A64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5FB4821-DD2C-4224-A625-B8BB774607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1B6FFE0-D556-4233-B093-4D4272A940A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36231F2-ADBF-4DB7-B936-911E83272C1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B1092F5-7F0F-47CA-A0F5-0DD5027983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FDA3C2F-9C5C-45C9-9CB9-9E4010D777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2313B1F-8D10-4ACB-835E-993FAB2C58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A5E8C9F-8655-45A7-ADCB-8EA5262F143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35195</xdr:rowOff>
    </xdr:to>
    <xdr:sp macro="" textlink="">
      <xdr:nvSpPr>
        <xdr:cNvPr id="16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26A6622-B9F3-4916-BB36-B66E497CBA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73295</xdr:rowOff>
    </xdr:to>
    <xdr:sp macro="" textlink="">
      <xdr:nvSpPr>
        <xdr:cNvPr id="16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CD7D8C3-7755-4117-8DBF-74E60DB1769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73295</xdr:rowOff>
    </xdr:to>
    <xdr:sp macro="" textlink="">
      <xdr:nvSpPr>
        <xdr:cNvPr id="16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A5F7782-7B38-4B6F-85DD-C50A31FD9DA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35195</xdr:rowOff>
    </xdr:to>
    <xdr:sp macro="" textlink="">
      <xdr:nvSpPr>
        <xdr:cNvPr id="16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B467729-ED21-4A0E-9DC6-65807FDD775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73295</xdr:rowOff>
    </xdr:to>
    <xdr:sp macro="" textlink="">
      <xdr:nvSpPr>
        <xdr:cNvPr id="16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11957B-C362-4E7D-A64E-BC90FAD460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73295</xdr:rowOff>
    </xdr:to>
    <xdr:sp macro="" textlink="">
      <xdr:nvSpPr>
        <xdr:cNvPr id="16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FF628DA-4143-463D-A0AF-D21EF3963AB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72660</xdr:rowOff>
    </xdr:to>
    <xdr:sp macro="" textlink="">
      <xdr:nvSpPr>
        <xdr:cNvPr id="16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595182B-F2AD-4956-9447-017099B51C4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72237</xdr:rowOff>
    </xdr:to>
    <xdr:sp macro="" textlink="">
      <xdr:nvSpPr>
        <xdr:cNvPr id="16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EBA7AA4-1180-422E-B27E-BE726A41982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72660</xdr:rowOff>
    </xdr:to>
    <xdr:sp macro="" textlink="">
      <xdr:nvSpPr>
        <xdr:cNvPr id="16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3EF1F4B-4076-40A6-8798-AE67014FC9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59BCCCB-B264-4C8E-9E28-81FE638EE6A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7395A6E-5F21-417A-8EBC-DE6D96E518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789367-D80F-4340-8F2B-870FCA541D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3EA042-B287-4E0A-9D94-B8B3110158C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40E1C3A-BC97-4231-893B-DAD3AFB344C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389CB0E-6A08-4DA6-92A8-09A8FD92AD6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D02FECE-95EB-4F9A-A450-279DB86C35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571E930-2E7F-4D87-8A6D-AA43B26941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2A4B15A-9A1A-43C1-B460-2F5AF01BCCA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2847AD-765C-40B6-9D28-8F0D4325962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72660</xdr:rowOff>
    </xdr:to>
    <xdr:sp macro="" textlink="">
      <xdr:nvSpPr>
        <xdr:cNvPr id="16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7AD812E-3863-4476-A455-8CADC71F69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4F7C457-62F6-4D8F-9517-97AF852386D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B8E1AE1-FF96-4C15-B505-25FEC6ABA1E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E735B6A-447A-425C-A39F-A94E9FEFF45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68FF4FC-14CA-4DB2-8AF0-E309B17732D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B1E7CC0-B057-4DE1-9736-F65696FD677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5B40C13-96E9-47A4-9BAD-7B0B37B58B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B85E7D2-6832-4381-81E9-2138AF775ED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72660</xdr:rowOff>
    </xdr:to>
    <xdr:sp macro="" textlink="">
      <xdr:nvSpPr>
        <xdr:cNvPr id="16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1F3302A-58C6-4D19-A8B4-8D8057CE489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E78611A-B0FF-4C3A-A864-6278C1C6B0A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38A4FEB-1947-4F01-8955-6C858A0F915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21E131-488C-404B-87DC-3F23987AA2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678FA2E-AE84-4EBA-815B-E48E5D00A6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F4D097-012D-4D7A-91E6-9CC34F8784D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17977D7-B96F-4371-AD5A-A6D88CB07B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3256FE4-E725-4843-8569-BCC2C912C2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1A45D9E-324B-44C9-9EB4-A761CA8C2D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590F470-AF9F-487C-A3F0-3986112567E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E2C9B64-5699-48A4-8777-BC6E6D09078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536614C-48F0-4F62-B426-650E664AFA4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26DD705-51DD-46CD-A076-84B879EB238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1AD6B18-F470-4F60-B61A-5C1B95C440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C93E972-8160-41F4-B2F5-CBB4A47A31D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940E035-6A88-4465-858C-834883F3599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6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FDD6140-0648-4B2F-AC76-DF25CCE10A4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6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4C02C10-EDD9-4627-963A-15546517282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6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93095BE-A019-479F-9B73-6C2CDD7522A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8D2C88C-9E32-4EA9-9697-B0F2CEC44D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C8753B4-B44F-4174-8E6E-A0B5F6AE796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CCE070-445B-4EBF-B338-B22D1A61CE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1ABB3EF-1A12-4EC0-8F54-E7FB0A50689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9A0BC01-3F18-4128-9D44-6A2980BA802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97F1E73-5945-4747-9FBF-D0FECAB774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F944F4-FF42-427B-97DF-401685A28D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299AEC2-31F4-4060-A354-35FAFACF1A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3B0F28B-94AE-438D-91ED-35E407E91FD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4C7D65-9750-43E8-ACF2-D0B20FC28A4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9553104-1A20-4A1E-A8F2-8152E6D959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F15C37-D8FD-479E-ABC0-F81E3FB7893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DB1676E-EF64-415D-BA99-B7BE9E21DB6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CB1C9C1-796F-4AF7-9898-57D5ADB26AE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855B15F-9C66-4AC3-89C3-01885109D9F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DC48681-790E-45E6-8C7F-A7C08E2CF76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61B949F-39C5-4BD8-A8A2-085DE3702B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F223445-013A-45F1-84AE-A6536C506BB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69FDA64-592A-4BE6-B5DD-858D14944A0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109581</xdr:rowOff>
    </xdr:to>
    <xdr:sp macro="" textlink="">
      <xdr:nvSpPr>
        <xdr:cNvPr id="17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BAA7D9B-4AF1-498F-AD30-7417FD43CB4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109581</xdr:rowOff>
    </xdr:to>
    <xdr:sp macro="" textlink="">
      <xdr:nvSpPr>
        <xdr:cNvPr id="17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8F98350-5357-4C3C-B654-7AE74FCA76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DDF66A3-ABB6-432E-AB74-7FE7BC16A8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5F2130-1287-402D-9F4A-6DAE22F2A80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67B4F43-0B76-48A4-B07A-9B21D6D8E3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1F3AA3A-7F4B-47DA-8F6A-2C1225D31E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DA90D8-54E6-45E3-B336-0874D91FB2F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7D2A3ED-9DF7-4C02-B9DE-F6613AFB1D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15D126F-86EA-48D7-930C-CD55D418426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0460AB7-47C2-4F33-8B88-1FDC63BB7A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4F04176-D78A-4C36-BC60-CE47B814B1A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58FD167-9F33-4498-8E05-FDEBCEC2890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109581</xdr:rowOff>
    </xdr:to>
    <xdr:sp macro="" textlink="">
      <xdr:nvSpPr>
        <xdr:cNvPr id="17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7AF4831-7F11-4037-8517-B084D6C75C8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41837D5-070F-4767-A0D2-ECD1AB16D24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0DB70F-C139-46BD-872C-899B753BD0D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5977D51-E34B-4F2F-A65B-DBE3B55A4FF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8F812CC-0C14-403F-BD7E-FE71B93179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0046F0C-E895-4F79-A71C-360CCCAEC9E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F633616-BE79-486C-85CB-19690910337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E2D7632-9308-4E59-8AE6-EAE253E2E9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109581</xdr:rowOff>
    </xdr:to>
    <xdr:sp macro="" textlink="">
      <xdr:nvSpPr>
        <xdr:cNvPr id="17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8748ED1-87BB-4402-B97A-615FEA9C96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34982F0-5CBC-4280-A7DD-E067A3C397F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35195</xdr:rowOff>
    </xdr:to>
    <xdr:sp macro="" textlink="">
      <xdr:nvSpPr>
        <xdr:cNvPr id="17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73C0954-8956-40E8-A588-B905F90243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73295</xdr:rowOff>
    </xdr:to>
    <xdr:sp macro="" textlink="">
      <xdr:nvSpPr>
        <xdr:cNvPr id="17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93FFC9-8865-4881-AB56-C0C89286D47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73295</xdr:rowOff>
    </xdr:to>
    <xdr:sp macro="" textlink="">
      <xdr:nvSpPr>
        <xdr:cNvPr id="17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4E81A96-09FD-4B37-8347-5DDB63F582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AED6EBB-FA6F-4C42-B9F0-9E6A9B13026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CC0E3C3-201F-447D-9724-100E84178A7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4002871-0AA7-41EF-9BD6-081D2358138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2234725-7081-4767-B8D2-0F2A23C4C1E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3D08136-6497-4BFF-A35E-6BE8518BA94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E5293A1-EDB4-496A-9569-7F828558A33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B9FB5A8-12D1-4554-83FF-1F7571CAF2E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B1AD5B5-32F9-4903-8E7B-F32B5196C2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FEBEC9-2ACE-444A-81A1-FE3896FA70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6AC266F-B2E3-438C-B934-7133C28EC99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73295</xdr:rowOff>
    </xdr:to>
    <xdr:sp macro="" textlink="">
      <xdr:nvSpPr>
        <xdr:cNvPr id="17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D9CFBD4-47FC-4407-93E0-FAA8CC733E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AE3979D-58A5-4EA5-9E80-B332DA5D2CF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4C3DA89-ECA9-4A59-A523-C8DC6262F6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E51FEDB-F284-4AE9-AF59-032287E1C1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BB0E37B-58CB-4CEF-8819-0857BB40295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4DD4946-5937-4A1C-AF0F-4AD386C6BB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FFC7667-05F4-4277-AA0F-26BEF3BE194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FFBB52C-812A-4EDE-B8DD-B05E7FB9F36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73295</xdr:rowOff>
    </xdr:to>
    <xdr:sp macro="" textlink="">
      <xdr:nvSpPr>
        <xdr:cNvPr id="17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14A6F8-7313-48DD-B3BC-3488F726736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5A30CE-2E5B-4FBD-9CFB-383A206409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2E39D3-FF23-4553-BCF5-A2CD60FEB62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862099F-A7D4-4E27-A72D-03A19CC3F4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E47A2FB-EAF4-4EAF-952A-A7DDCEE0764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563E50E-A76E-4C22-8B1B-691F60EF03C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90A43D2-9599-4DD8-A44B-D1761E46954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6C3B834-5751-4D89-9A73-45834833984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88DE49-BEF0-4EAC-AC04-5DA47ABC5F3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EED35CA-ED45-41CF-A353-ABC305E73B8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EA2F7F1-B719-42A5-AE15-D83915FDA0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5B03EE5-2EAE-49C1-A6A2-3C0FDB4BFC0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5466E86-9F71-4111-BB83-BE524190057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C248440-1D95-4F4B-B420-6F01A3D739E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63A3CDC-55DA-46AF-8571-2CC53A5CFD0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3052FE1-5FBF-4EED-8503-03A95877FA2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608BE1-568D-4F92-AC56-D82F9E5D38E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2E3033A-1952-4465-871C-12326FB0B84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3968F9-D2EF-4E8D-BC60-5B44AA126A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6B6175F-D293-4F67-B180-546861B8465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F7B46A8-35DB-4519-9017-5136AD21C77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3933949-7D60-4514-B17B-94B40D54B8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BC7B77A-ED44-4BBC-95A4-76357610212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2420"/>
    <xdr:sp macro="" textlink="">
      <xdr:nvSpPr>
        <xdr:cNvPr id="17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C9F82A7-964A-46FD-AA3F-15E481AB95F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20040"/>
    <xdr:sp macro="" textlink="">
      <xdr:nvSpPr>
        <xdr:cNvPr id="17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132F87E-A3C4-496A-8F98-35DA6D7656C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D58788F-BBC5-4BCF-A39E-86DB6176EB2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110428</xdr:rowOff>
    </xdr:to>
    <xdr:sp macro="" textlink="">
      <xdr:nvSpPr>
        <xdr:cNvPr id="17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28A71D4-CB99-408A-BC06-19A88C4BC4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110428</xdr:rowOff>
    </xdr:to>
    <xdr:sp macro="" textlink="">
      <xdr:nvSpPr>
        <xdr:cNvPr id="17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4469278-0A3A-49AA-9DD9-A14FA878FB8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110428</xdr:rowOff>
    </xdr:to>
    <xdr:sp macro="" textlink="">
      <xdr:nvSpPr>
        <xdr:cNvPr id="17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A5379AE-BB8D-4E7A-A20D-E6F1827627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110428</xdr:rowOff>
    </xdr:to>
    <xdr:sp macro="" textlink="">
      <xdr:nvSpPr>
        <xdr:cNvPr id="17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5912C89-3315-4264-B8CF-0A112078813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110428</xdr:rowOff>
    </xdr:to>
    <xdr:sp macro="" textlink="">
      <xdr:nvSpPr>
        <xdr:cNvPr id="17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C7960FF-14F8-499D-BE7C-5E53363C509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110428</xdr:rowOff>
    </xdr:to>
    <xdr:sp macro="" textlink="">
      <xdr:nvSpPr>
        <xdr:cNvPr id="17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F7B1A90-FB1A-4FCB-B9D0-BF4905EA117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1C12E1-060A-457B-B4B2-1A40CB3C76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ACF80C5-7AE9-45C6-B256-8DC31CA254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FBE8D4B-CBE0-4D2F-911F-7BA794E828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311</xdr:row>
      <xdr:rowOff>0</xdr:rowOff>
    </xdr:from>
    <xdr:ext cx="304800" cy="314325"/>
    <xdr:sp macro="" textlink="">
      <xdr:nvSpPr>
        <xdr:cNvPr id="17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C18D1CF-0C70-4A9D-9C3E-490985228D6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61C8-580E-4178-993B-56B3BDBB52B1}">
  <sheetPr>
    <pageSetUpPr fitToPage="1"/>
  </sheetPr>
  <dimension ref="A1:J377"/>
  <sheetViews>
    <sheetView showGridLines="0" tabSelected="1" zoomScale="130" zoomScaleNormal="130" workbookViewId="0">
      <pane ySplit="3" topLeftCell="A4" activePane="bottomLeft" state="frozen"/>
      <selection pane="bottomLeft" activeCell="F1" sqref="F1:G1"/>
    </sheetView>
  </sheetViews>
  <sheetFormatPr defaultColWidth="43" defaultRowHeight="15" x14ac:dyDescent="0.25"/>
  <cols>
    <col min="1" max="1" width="11.7109375" style="28" bestFit="1" customWidth="1"/>
    <col min="2" max="2" width="15.28515625" style="29" bestFit="1" customWidth="1"/>
    <col min="3" max="3" width="12.85546875" style="30" customWidth="1"/>
    <col min="4" max="4" width="47.140625" style="31" customWidth="1"/>
    <col min="5" max="5" width="24" style="31" customWidth="1"/>
    <col min="6" max="6" width="14.42578125" style="32" customWidth="1"/>
    <col min="7" max="7" width="11.28515625" style="5" customWidth="1"/>
    <col min="8" max="8" width="6.7109375" style="6" bestFit="1" customWidth="1"/>
    <col min="9" max="10" width="28.28515625" style="6" customWidth="1"/>
    <col min="11" max="16384" width="43" style="6"/>
  </cols>
  <sheetData>
    <row r="1" spans="1:7" ht="26.25" x14ac:dyDescent="0.4">
      <c r="A1" s="262" t="s">
        <v>23</v>
      </c>
      <c r="B1" s="262"/>
      <c r="C1" s="262"/>
      <c r="D1" s="262"/>
      <c r="E1" s="262"/>
      <c r="F1" s="262"/>
      <c r="G1" s="262"/>
    </row>
    <row r="2" spans="1:7" ht="15.75" x14ac:dyDescent="0.25">
      <c r="A2" s="259" t="s">
        <v>14</v>
      </c>
      <c r="B2" s="260"/>
      <c r="C2" s="260"/>
      <c r="D2" s="260"/>
      <c r="E2" s="260"/>
      <c r="F2" s="260"/>
      <c r="G2" s="261"/>
    </row>
    <row r="3" spans="1:7" s="12" customFormat="1" ht="25.5" x14ac:dyDescent="0.25">
      <c r="A3" s="35" t="s">
        <v>15</v>
      </c>
      <c r="B3" s="35" t="s">
        <v>16</v>
      </c>
      <c r="C3" s="8" t="s">
        <v>17</v>
      </c>
      <c r="D3" s="10" t="s">
        <v>18</v>
      </c>
      <c r="E3" s="229"/>
      <c r="F3" s="49"/>
      <c r="G3" s="11" t="s">
        <v>19</v>
      </c>
    </row>
    <row r="4" spans="1:7" s="17" customFormat="1" ht="12" x14ac:dyDescent="0.2">
      <c r="A4" s="272" t="s">
        <v>61</v>
      </c>
      <c r="B4" s="66" t="s">
        <v>81</v>
      </c>
      <c r="C4" s="83">
        <v>7898300023965</v>
      </c>
      <c r="D4" s="84" t="s">
        <v>74</v>
      </c>
      <c r="E4" s="230"/>
      <c r="F4" s="61"/>
      <c r="G4" s="62">
        <v>21.99</v>
      </c>
    </row>
    <row r="5" spans="1:7" s="17" customFormat="1" ht="12" x14ac:dyDescent="0.2">
      <c r="A5" s="273"/>
      <c r="B5" s="66" t="s">
        <v>81</v>
      </c>
      <c r="C5" s="83">
        <v>7898300281822</v>
      </c>
      <c r="D5" s="84" t="s">
        <v>75</v>
      </c>
      <c r="E5" s="230"/>
      <c r="F5" s="61"/>
      <c r="G5" s="62">
        <v>24.99</v>
      </c>
    </row>
    <row r="6" spans="1:7" s="17" customFormat="1" ht="12" x14ac:dyDescent="0.2">
      <c r="A6" s="274"/>
      <c r="B6" s="66" t="s">
        <v>81</v>
      </c>
      <c r="C6" s="83">
        <v>7898300281839</v>
      </c>
      <c r="D6" s="84" t="s">
        <v>76</v>
      </c>
      <c r="E6" s="230"/>
      <c r="F6" s="61"/>
      <c r="G6" s="62">
        <v>14.99</v>
      </c>
    </row>
    <row r="7" spans="1:7" s="17" customFormat="1" ht="12" customHeight="1" x14ac:dyDescent="0.2">
      <c r="A7" s="275" t="s">
        <v>83</v>
      </c>
      <c r="B7" s="33" t="s">
        <v>82</v>
      </c>
      <c r="C7" s="13">
        <v>7896048600769</v>
      </c>
      <c r="D7" s="14" t="s">
        <v>77</v>
      </c>
      <c r="E7" s="231"/>
      <c r="F7" s="50"/>
      <c r="G7" s="16">
        <v>12.99</v>
      </c>
    </row>
    <row r="8" spans="1:7" s="17" customFormat="1" ht="12" x14ac:dyDescent="0.2">
      <c r="A8" s="276"/>
      <c r="B8" s="33" t="s">
        <v>82</v>
      </c>
      <c r="C8" s="13">
        <v>7896048600776</v>
      </c>
      <c r="D8" s="40" t="s">
        <v>78</v>
      </c>
      <c r="E8" s="232"/>
      <c r="F8" s="50"/>
      <c r="G8" s="16">
        <v>16.989999999999998</v>
      </c>
    </row>
    <row r="9" spans="1:7" s="17" customFormat="1" ht="12" x14ac:dyDescent="0.2">
      <c r="A9" s="277"/>
      <c r="B9" s="33" t="s">
        <v>82</v>
      </c>
      <c r="C9" s="13">
        <v>7896048600752</v>
      </c>
      <c r="D9" s="14" t="s">
        <v>79</v>
      </c>
      <c r="E9" s="231"/>
      <c r="F9" s="50"/>
      <c r="G9" s="16">
        <v>16.989999999999998</v>
      </c>
    </row>
    <row r="10" spans="1:7" s="17" customFormat="1" ht="12" x14ac:dyDescent="0.2">
      <c r="A10" s="82" t="s">
        <v>62</v>
      </c>
      <c r="B10" s="66" t="s">
        <v>82</v>
      </c>
      <c r="C10" s="83">
        <v>7896048609915</v>
      </c>
      <c r="D10" s="84" t="s">
        <v>80</v>
      </c>
      <c r="E10" s="230"/>
      <c r="F10" s="61"/>
      <c r="G10" s="62">
        <v>39.99</v>
      </c>
    </row>
    <row r="11" spans="1:7" s="17" customFormat="1" ht="12" x14ac:dyDescent="0.2">
      <c r="A11" s="253" t="s">
        <v>61</v>
      </c>
      <c r="B11" s="66" t="s">
        <v>32</v>
      </c>
      <c r="C11" s="67">
        <v>7898307298106</v>
      </c>
      <c r="D11" s="68" t="s">
        <v>203</v>
      </c>
      <c r="E11" s="233" t="s">
        <v>204</v>
      </c>
      <c r="F11" s="61"/>
      <c r="G11" s="62">
        <v>9.49</v>
      </c>
    </row>
    <row r="12" spans="1:7" s="17" customFormat="1" ht="12" x14ac:dyDescent="0.2">
      <c r="A12" s="254"/>
      <c r="B12" s="66" t="s">
        <v>32</v>
      </c>
      <c r="C12" s="69">
        <v>7898307298090</v>
      </c>
      <c r="D12" s="70" t="s">
        <v>203</v>
      </c>
      <c r="E12" s="234" t="s">
        <v>205</v>
      </c>
      <c r="F12" s="61"/>
      <c r="G12" s="62">
        <v>9.49</v>
      </c>
    </row>
    <row r="13" spans="1:7" s="17" customFormat="1" ht="12" x14ac:dyDescent="0.2">
      <c r="A13" s="254"/>
      <c r="B13" s="66" t="s">
        <v>32</v>
      </c>
      <c r="C13" s="69">
        <v>7898307298083</v>
      </c>
      <c r="D13" s="70" t="s">
        <v>203</v>
      </c>
      <c r="E13" s="234" t="s">
        <v>206</v>
      </c>
      <c r="F13" s="61"/>
      <c r="G13" s="62">
        <v>9.49</v>
      </c>
    </row>
    <row r="14" spans="1:7" s="17" customFormat="1" ht="12" x14ac:dyDescent="0.2">
      <c r="A14" s="254"/>
      <c r="B14" s="66" t="s">
        <v>32</v>
      </c>
      <c r="C14" s="69">
        <v>7898307298113</v>
      </c>
      <c r="D14" s="70" t="s">
        <v>203</v>
      </c>
      <c r="E14" s="234" t="s">
        <v>207</v>
      </c>
      <c r="F14" s="61"/>
      <c r="G14" s="62">
        <v>9.49</v>
      </c>
    </row>
    <row r="15" spans="1:7" s="17" customFormat="1" ht="12" x14ac:dyDescent="0.2">
      <c r="A15" s="254"/>
      <c r="B15" s="66" t="s">
        <v>32</v>
      </c>
      <c r="C15" s="69">
        <v>7899674036698</v>
      </c>
      <c r="D15" s="70" t="s">
        <v>208</v>
      </c>
      <c r="E15" s="234" t="s">
        <v>209</v>
      </c>
      <c r="F15" s="61"/>
      <c r="G15" s="62">
        <v>7.99</v>
      </c>
    </row>
    <row r="16" spans="1:7" s="17" customFormat="1" ht="12" x14ac:dyDescent="0.2">
      <c r="A16" s="254"/>
      <c r="B16" s="66" t="s">
        <v>32</v>
      </c>
      <c r="C16" s="69">
        <v>7899674043054</v>
      </c>
      <c r="D16" s="70" t="s">
        <v>208</v>
      </c>
      <c r="E16" s="234" t="s">
        <v>210</v>
      </c>
      <c r="F16" s="61"/>
      <c r="G16" s="62">
        <v>7.99</v>
      </c>
    </row>
    <row r="17" spans="1:7" s="17" customFormat="1" ht="12" x14ac:dyDescent="0.2">
      <c r="A17" s="254"/>
      <c r="B17" s="66" t="s">
        <v>32</v>
      </c>
      <c r="C17" s="69">
        <v>7899674035479</v>
      </c>
      <c r="D17" s="70" t="s">
        <v>208</v>
      </c>
      <c r="E17" s="234" t="s">
        <v>211</v>
      </c>
      <c r="F17" s="61"/>
      <c r="G17" s="62">
        <v>7.99</v>
      </c>
    </row>
    <row r="18" spans="1:7" s="17" customFormat="1" ht="12" x14ac:dyDescent="0.2">
      <c r="A18" s="254"/>
      <c r="B18" s="66" t="s">
        <v>32</v>
      </c>
      <c r="C18" s="69">
        <v>7899674035424</v>
      </c>
      <c r="D18" s="70" t="s">
        <v>208</v>
      </c>
      <c r="E18" s="234" t="s">
        <v>212</v>
      </c>
      <c r="F18" s="61"/>
      <c r="G18" s="62">
        <v>7.99</v>
      </c>
    </row>
    <row r="19" spans="1:7" s="17" customFormat="1" ht="12" x14ac:dyDescent="0.2">
      <c r="A19" s="254"/>
      <c r="B19" s="66" t="s">
        <v>32</v>
      </c>
      <c r="C19" s="69">
        <v>7899674035431</v>
      </c>
      <c r="D19" s="70" t="s">
        <v>208</v>
      </c>
      <c r="E19" s="234" t="s">
        <v>213</v>
      </c>
      <c r="F19" s="61"/>
      <c r="G19" s="62">
        <v>7.99</v>
      </c>
    </row>
    <row r="20" spans="1:7" s="17" customFormat="1" ht="12" x14ac:dyDescent="0.2">
      <c r="A20" s="254"/>
      <c r="B20" s="66" t="s">
        <v>32</v>
      </c>
      <c r="C20" s="69">
        <v>7899674035455</v>
      </c>
      <c r="D20" s="70" t="s">
        <v>208</v>
      </c>
      <c r="E20" s="234" t="s">
        <v>214</v>
      </c>
      <c r="F20" s="61"/>
      <c r="G20" s="62">
        <v>7.99</v>
      </c>
    </row>
    <row r="21" spans="1:7" s="17" customFormat="1" ht="12" x14ac:dyDescent="0.2">
      <c r="A21" s="254"/>
      <c r="B21" s="66" t="s">
        <v>32</v>
      </c>
      <c r="C21" s="69">
        <v>7899674038548</v>
      </c>
      <c r="D21" s="70" t="s">
        <v>215</v>
      </c>
      <c r="E21" s="234" t="s">
        <v>216</v>
      </c>
      <c r="F21" s="61"/>
      <c r="G21" s="62">
        <v>7.99</v>
      </c>
    </row>
    <row r="22" spans="1:7" s="17" customFormat="1" ht="12" x14ac:dyDescent="0.2">
      <c r="A22" s="254"/>
      <c r="B22" s="66" t="s">
        <v>32</v>
      </c>
      <c r="C22" s="69">
        <v>7899674035462</v>
      </c>
      <c r="D22" s="70" t="s">
        <v>217</v>
      </c>
      <c r="E22" s="234" t="s">
        <v>218</v>
      </c>
      <c r="F22" s="61"/>
      <c r="G22" s="62">
        <v>7.99</v>
      </c>
    </row>
    <row r="23" spans="1:7" s="17" customFormat="1" ht="12" x14ac:dyDescent="0.2">
      <c r="A23" s="254"/>
      <c r="B23" s="66" t="s">
        <v>32</v>
      </c>
      <c r="C23" s="69">
        <v>7899674035400</v>
      </c>
      <c r="D23" s="70" t="s">
        <v>217</v>
      </c>
      <c r="E23" s="234" t="s">
        <v>219</v>
      </c>
      <c r="F23" s="61"/>
      <c r="G23" s="62">
        <v>7.99</v>
      </c>
    </row>
    <row r="24" spans="1:7" s="17" customFormat="1" ht="12" x14ac:dyDescent="0.2">
      <c r="A24" s="254"/>
      <c r="B24" s="66" t="s">
        <v>32</v>
      </c>
      <c r="C24" s="69">
        <v>7899674035417</v>
      </c>
      <c r="D24" s="70" t="s">
        <v>217</v>
      </c>
      <c r="E24" s="234" t="s">
        <v>220</v>
      </c>
      <c r="F24" s="61"/>
      <c r="G24" s="62">
        <v>7.99</v>
      </c>
    </row>
    <row r="25" spans="1:7" s="17" customFormat="1" ht="12" x14ac:dyDescent="0.2">
      <c r="A25" s="254"/>
      <c r="B25" s="66" t="s">
        <v>32</v>
      </c>
      <c r="C25" s="69">
        <v>7899674035448</v>
      </c>
      <c r="D25" s="70" t="s">
        <v>217</v>
      </c>
      <c r="E25" s="234" t="s">
        <v>221</v>
      </c>
      <c r="F25" s="61"/>
      <c r="G25" s="62">
        <v>7.99</v>
      </c>
    </row>
    <row r="26" spans="1:7" s="17" customFormat="1" ht="12" x14ac:dyDescent="0.2">
      <c r="A26" s="254"/>
      <c r="B26" s="66" t="s">
        <v>32</v>
      </c>
      <c r="C26" s="69">
        <v>7899674038869</v>
      </c>
      <c r="D26" s="70" t="s">
        <v>222</v>
      </c>
      <c r="E26" s="234" t="s">
        <v>223</v>
      </c>
      <c r="F26" s="61"/>
      <c r="G26" s="62">
        <v>16.989999999999998</v>
      </c>
    </row>
    <row r="27" spans="1:7" s="17" customFormat="1" ht="12" x14ac:dyDescent="0.2">
      <c r="A27" s="254"/>
      <c r="B27" s="66" t="s">
        <v>32</v>
      </c>
      <c r="C27" s="69">
        <v>7899674040091</v>
      </c>
      <c r="D27" s="70" t="s">
        <v>222</v>
      </c>
      <c r="E27" s="234" t="s">
        <v>224</v>
      </c>
      <c r="F27" s="61"/>
      <c r="G27" s="62">
        <v>16.989999999999998</v>
      </c>
    </row>
    <row r="28" spans="1:7" s="17" customFormat="1" ht="12" x14ac:dyDescent="0.2">
      <c r="A28" s="254"/>
      <c r="B28" s="66" t="s">
        <v>32</v>
      </c>
      <c r="C28" s="69">
        <v>7899674039392</v>
      </c>
      <c r="D28" s="70" t="s">
        <v>225</v>
      </c>
      <c r="E28" s="234" t="s">
        <v>226</v>
      </c>
      <c r="F28" s="61"/>
      <c r="G28" s="62">
        <v>18.989999999999998</v>
      </c>
    </row>
    <row r="29" spans="1:7" s="17" customFormat="1" ht="12" x14ac:dyDescent="0.2">
      <c r="A29" s="254"/>
      <c r="B29" s="66" t="s">
        <v>32</v>
      </c>
      <c r="C29" s="69">
        <v>7899674036063</v>
      </c>
      <c r="D29" s="70" t="s">
        <v>225</v>
      </c>
      <c r="E29" s="234" t="s">
        <v>227</v>
      </c>
      <c r="F29" s="61"/>
      <c r="G29" s="62">
        <v>18.989999999999998</v>
      </c>
    </row>
    <row r="30" spans="1:7" s="17" customFormat="1" ht="12" x14ac:dyDescent="0.2">
      <c r="A30" s="255"/>
      <c r="B30" s="66" t="s">
        <v>32</v>
      </c>
      <c r="C30" s="71">
        <v>7899674037190</v>
      </c>
      <c r="D30" s="72" t="s">
        <v>225</v>
      </c>
      <c r="E30" s="235" t="s">
        <v>228</v>
      </c>
      <c r="F30" s="61"/>
      <c r="G30" s="62">
        <v>18.989999999999998</v>
      </c>
    </row>
    <row r="31" spans="1:7" s="17" customFormat="1" ht="12" x14ac:dyDescent="0.2">
      <c r="A31" s="269" t="s">
        <v>69</v>
      </c>
      <c r="B31" s="33" t="s">
        <v>24</v>
      </c>
      <c r="C31" s="13">
        <v>8718951539129</v>
      </c>
      <c r="D31" s="42" t="s">
        <v>66</v>
      </c>
      <c r="E31" s="236"/>
      <c r="F31" s="50"/>
      <c r="G31" s="16">
        <v>18.989999999999998</v>
      </c>
    </row>
    <row r="32" spans="1:7" s="17" customFormat="1" ht="12" x14ac:dyDescent="0.2">
      <c r="A32" s="270"/>
      <c r="B32" s="33" t="s">
        <v>24</v>
      </c>
      <c r="C32" s="13">
        <v>7509546702018</v>
      </c>
      <c r="D32" s="42" t="s">
        <v>67</v>
      </c>
      <c r="E32" s="236"/>
      <c r="F32" s="50"/>
      <c r="G32" s="16">
        <v>19.989999999999998</v>
      </c>
    </row>
    <row r="33" spans="1:7" s="17" customFormat="1" ht="12" x14ac:dyDescent="0.2">
      <c r="A33" s="270"/>
      <c r="B33" s="33" t="s">
        <v>24</v>
      </c>
      <c r="C33" s="13">
        <v>7509546700434</v>
      </c>
      <c r="D33" s="42" t="s">
        <v>68</v>
      </c>
      <c r="E33" s="236"/>
      <c r="F33" s="50"/>
      <c r="G33" s="16">
        <v>9.99</v>
      </c>
    </row>
    <row r="34" spans="1:7" s="17" customFormat="1" ht="12" x14ac:dyDescent="0.2">
      <c r="A34" s="271"/>
      <c r="B34" s="33" t="s">
        <v>24</v>
      </c>
      <c r="C34" s="13">
        <v>7509546700472</v>
      </c>
      <c r="D34" s="42" t="s">
        <v>229</v>
      </c>
      <c r="E34" s="236" t="s">
        <v>230</v>
      </c>
      <c r="F34" s="50"/>
      <c r="G34" s="16">
        <v>26.99</v>
      </c>
    </row>
    <row r="35" spans="1:7" s="17" customFormat="1" ht="12" x14ac:dyDescent="0.25">
      <c r="A35" s="272" t="s">
        <v>61</v>
      </c>
      <c r="B35" s="73" t="s">
        <v>84</v>
      </c>
      <c r="C35" s="74">
        <v>7891350032673</v>
      </c>
      <c r="D35" s="79" t="s">
        <v>231</v>
      </c>
      <c r="E35" s="237" t="s">
        <v>232</v>
      </c>
      <c r="F35" s="61"/>
      <c r="G35" s="62">
        <v>27.99</v>
      </c>
    </row>
    <row r="36" spans="1:7" s="17" customFormat="1" ht="12" x14ac:dyDescent="0.25">
      <c r="A36" s="273"/>
      <c r="B36" s="73" t="s">
        <v>84</v>
      </c>
      <c r="C36" s="74">
        <v>7891350032680</v>
      </c>
      <c r="D36" s="79" t="s">
        <v>231</v>
      </c>
      <c r="E36" s="237" t="s">
        <v>233</v>
      </c>
      <c r="F36" s="61"/>
      <c r="G36" s="62">
        <v>27.99</v>
      </c>
    </row>
    <row r="37" spans="1:7" s="17" customFormat="1" ht="12" x14ac:dyDescent="0.25">
      <c r="A37" s="273"/>
      <c r="B37" s="73" t="s">
        <v>84</v>
      </c>
      <c r="C37" s="74">
        <v>7891350011043</v>
      </c>
      <c r="D37" s="79" t="s">
        <v>234</v>
      </c>
      <c r="E37" s="237" t="s">
        <v>235</v>
      </c>
      <c r="F37" s="61"/>
      <c r="G37" s="62">
        <v>9.99</v>
      </c>
    </row>
    <row r="38" spans="1:7" s="17" customFormat="1" ht="12" x14ac:dyDescent="0.25">
      <c r="A38" s="273"/>
      <c r="B38" s="73" t="s">
        <v>84</v>
      </c>
      <c r="C38" s="74">
        <v>7891350002409</v>
      </c>
      <c r="D38" s="79" t="s">
        <v>234</v>
      </c>
      <c r="E38" s="237" t="s">
        <v>236</v>
      </c>
      <c r="F38" s="61"/>
      <c r="G38" s="62">
        <v>9.99</v>
      </c>
    </row>
    <row r="39" spans="1:7" s="17" customFormat="1" ht="12" x14ac:dyDescent="0.25">
      <c r="A39" s="273"/>
      <c r="B39" s="73" t="s">
        <v>84</v>
      </c>
      <c r="C39" s="74">
        <v>7891350011623</v>
      </c>
      <c r="D39" s="79" t="s">
        <v>234</v>
      </c>
      <c r="E39" s="237" t="s">
        <v>233</v>
      </c>
      <c r="F39" s="61"/>
      <c r="G39" s="62">
        <v>9.99</v>
      </c>
    </row>
    <row r="40" spans="1:7" s="17" customFormat="1" ht="12" x14ac:dyDescent="0.25">
      <c r="A40" s="273"/>
      <c r="B40" s="73" t="s">
        <v>84</v>
      </c>
      <c r="C40" s="74">
        <v>7891350047905</v>
      </c>
      <c r="D40" s="79" t="s">
        <v>237</v>
      </c>
      <c r="E40" s="237" t="s">
        <v>238</v>
      </c>
      <c r="F40" s="61"/>
      <c r="G40" s="62">
        <v>12.99</v>
      </c>
    </row>
    <row r="41" spans="1:7" s="17" customFormat="1" ht="12" x14ac:dyDescent="0.25">
      <c r="A41" s="273"/>
      <c r="B41" s="73" t="s">
        <v>84</v>
      </c>
      <c r="C41" s="77">
        <v>7891350047882</v>
      </c>
      <c r="D41" s="79" t="s">
        <v>237</v>
      </c>
      <c r="E41" s="237" t="s">
        <v>239</v>
      </c>
      <c r="F41" s="61"/>
      <c r="G41" s="62">
        <v>12.99</v>
      </c>
    </row>
    <row r="42" spans="1:7" s="17" customFormat="1" ht="12" x14ac:dyDescent="0.25">
      <c r="A42" s="273"/>
      <c r="B42" s="73" t="s">
        <v>84</v>
      </c>
      <c r="C42" s="77">
        <v>7891350047899</v>
      </c>
      <c r="D42" s="79" t="s">
        <v>237</v>
      </c>
      <c r="E42" s="237" t="s">
        <v>240</v>
      </c>
      <c r="F42" s="61"/>
      <c r="G42" s="62">
        <v>12.99</v>
      </c>
    </row>
    <row r="43" spans="1:7" s="17" customFormat="1" ht="12" x14ac:dyDescent="0.25">
      <c r="A43" s="273"/>
      <c r="B43" s="73" t="s">
        <v>84</v>
      </c>
      <c r="C43" s="77">
        <v>7891350041408</v>
      </c>
      <c r="D43" s="79" t="s">
        <v>237</v>
      </c>
      <c r="E43" s="237" t="s">
        <v>241</v>
      </c>
      <c r="F43" s="61"/>
      <c r="G43" s="62">
        <v>12.99</v>
      </c>
    </row>
    <row r="44" spans="1:7" s="17" customFormat="1" ht="12" x14ac:dyDescent="0.25">
      <c r="A44" s="273"/>
      <c r="B44" s="73" t="s">
        <v>84</v>
      </c>
      <c r="C44" s="77">
        <v>7891350041415</v>
      </c>
      <c r="D44" s="79" t="s">
        <v>237</v>
      </c>
      <c r="E44" s="237" t="s">
        <v>242</v>
      </c>
      <c r="F44" s="61"/>
      <c r="G44" s="62">
        <v>12.99</v>
      </c>
    </row>
    <row r="45" spans="1:7" s="17" customFormat="1" ht="12" x14ac:dyDescent="0.2">
      <c r="A45" s="273"/>
      <c r="B45" s="73" t="s">
        <v>84</v>
      </c>
      <c r="C45" s="59">
        <v>7891350034868</v>
      </c>
      <c r="D45" s="79" t="s">
        <v>243</v>
      </c>
      <c r="E45" s="237" t="s">
        <v>244</v>
      </c>
      <c r="F45" s="61"/>
      <c r="G45" s="62">
        <v>16.989999999999998</v>
      </c>
    </row>
    <row r="46" spans="1:7" s="17" customFormat="1" ht="12" x14ac:dyDescent="0.2">
      <c r="A46" s="273"/>
      <c r="B46" s="73" t="s">
        <v>84</v>
      </c>
      <c r="C46" s="59">
        <v>7891350034844</v>
      </c>
      <c r="D46" s="79" t="s">
        <v>243</v>
      </c>
      <c r="E46" s="237" t="s">
        <v>245</v>
      </c>
      <c r="F46" s="61"/>
      <c r="G46" s="62">
        <v>16.989999999999998</v>
      </c>
    </row>
    <row r="47" spans="1:7" s="17" customFormat="1" ht="12" x14ac:dyDescent="0.2">
      <c r="A47" s="273"/>
      <c r="B47" s="73" t="s">
        <v>84</v>
      </c>
      <c r="C47" s="59">
        <v>7891350034851</v>
      </c>
      <c r="D47" s="79" t="s">
        <v>243</v>
      </c>
      <c r="E47" s="237" t="s">
        <v>246</v>
      </c>
      <c r="F47" s="61"/>
      <c r="G47" s="62">
        <v>16.989999999999998</v>
      </c>
    </row>
    <row r="48" spans="1:7" s="17" customFormat="1" ht="12" x14ac:dyDescent="0.2">
      <c r="A48" s="273"/>
      <c r="B48" s="73" t="s">
        <v>84</v>
      </c>
      <c r="C48" s="59">
        <v>7891350040814</v>
      </c>
      <c r="D48" s="79" t="s">
        <v>247</v>
      </c>
      <c r="E48" s="237" t="s">
        <v>224</v>
      </c>
      <c r="F48" s="61"/>
      <c r="G48" s="62">
        <v>6.99</v>
      </c>
    </row>
    <row r="49" spans="1:7" s="17" customFormat="1" ht="12" x14ac:dyDescent="0.2">
      <c r="A49" s="274"/>
      <c r="B49" s="73" t="s">
        <v>84</v>
      </c>
      <c r="C49" s="59">
        <v>7891350040807</v>
      </c>
      <c r="D49" s="79" t="s">
        <v>247</v>
      </c>
      <c r="E49" s="237" t="s">
        <v>248</v>
      </c>
      <c r="F49" s="61"/>
      <c r="G49" s="62">
        <v>6.99</v>
      </c>
    </row>
    <row r="50" spans="1:7" s="17" customFormat="1" ht="12" x14ac:dyDescent="0.2">
      <c r="A50" s="272"/>
      <c r="B50" s="73" t="s">
        <v>84</v>
      </c>
      <c r="C50" s="59">
        <v>7896235354178</v>
      </c>
      <c r="D50" s="79" t="s">
        <v>249</v>
      </c>
      <c r="E50" s="237" t="s">
        <v>250</v>
      </c>
      <c r="F50" s="61"/>
      <c r="G50" s="62">
        <v>15.99</v>
      </c>
    </row>
    <row r="51" spans="1:7" s="17" customFormat="1" ht="12" x14ac:dyDescent="0.2">
      <c r="A51" s="273"/>
      <c r="B51" s="73" t="s">
        <v>84</v>
      </c>
      <c r="C51" s="59">
        <v>7896235354161</v>
      </c>
      <c r="D51" s="79" t="s">
        <v>249</v>
      </c>
      <c r="E51" s="237" t="s">
        <v>251</v>
      </c>
      <c r="F51" s="61"/>
      <c r="G51" s="62">
        <v>15.99</v>
      </c>
    </row>
    <row r="52" spans="1:7" s="17" customFormat="1" ht="12" x14ac:dyDescent="0.2">
      <c r="A52" s="273"/>
      <c r="B52" s="73" t="s">
        <v>84</v>
      </c>
      <c r="C52" s="59">
        <v>7896235354000</v>
      </c>
      <c r="D52" s="79" t="s">
        <v>252</v>
      </c>
      <c r="E52" s="237" t="s">
        <v>253</v>
      </c>
      <c r="F52" s="61"/>
      <c r="G52" s="62">
        <v>10.99</v>
      </c>
    </row>
    <row r="53" spans="1:7" s="17" customFormat="1" ht="12" x14ac:dyDescent="0.2">
      <c r="A53" s="273"/>
      <c r="B53" s="73" t="s">
        <v>84</v>
      </c>
      <c r="C53" s="59">
        <v>7896235353997</v>
      </c>
      <c r="D53" s="79" t="s">
        <v>252</v>
      </c>
      <c r="E53" s="237" t="s">
        <v>254</v>
      </c>
      <c r="F53" s="61"/>
      <c r="G53" s="62">
        <v>10.99</v>
      </c>
    </row>
    <row r="54" spans="1:7" s="17" customFormat="1" ht="12" x14ac:dyDescent="0.2">
      <c r="A54" s="273"/>
      <c r="B54" s="73" t="s">
        <v>84</v>
      </c>
      <c r="C54" s="59">
        <v>7896235353973</v>
      </c>
      <c r="D54" s="79" t="s">
        <v>252</v>
      </c>
      <c r="E54" s="237" t="s">
        <v>255</v>
      </c>
      <c r="F54" s="61"/>
      <c r="G54" s="62">
        <v>10.99</v>
      </c>
    </row>
    <row r="55" spans="1:7" s="17" customFormat="1" ht="12" x14ac:dyDescent="0.2">
      <c r="A55" s="273"/>
      <c r="B55" s="73" t="s">
        <v>84</v>
      </c>
      <c r="C55" s="59">
        <v>7896235353980</v>
      </c>
      <c r="D55" s="79" t="s">
        <v>252</v>
      </c>
      <c r="E55" s="237" t="s">
        <v>256</v>
      </c>
      <c r="F55" s="61"/>
      <c r="G55" s="62">
        <v>10.99</v>
      </c>
    </row>
    <row r="56" spans="1:7" s="17" customFormat="1" ht="12" x14ac:dyDescent="0.2">
      <c r="A56" s="273"/>
      <c r="B56" s="73" t="s">
        <v>84</v>
      </c>
      <c r="C56" s="59">
        <v>7896235354062</v>
      </c>
      <c r="D56" s="79" t="s">
        <v>257</v>
      </c>
      <c r="E56" s="237" t="s">
        <v>258</v>
      </c>
      <c r="F56" s="61"/>
      <c r="G56" s="62">
        <v>11.99</v>
      </c>
    </row>
    <row r="57" spans="1:7" s="17" customFormat="1" ht="12" x14ac:dyDescent="0.2">
      <c r="A57" s="273"/>
      <c r="B57" s="73" t="s">
        <v>84</v>
      </c>
      <c r="C57" s="59">
        <v>7896235354079</v>
      </c>
      <c r="D57" s="79" t="s">
        <v>257</v>
      </c>
      <c r="E57" s="237" t="s">
        <v>259</v>
      </c>
      <c r="F57" s="61"/>
      <c r="G57" s="62">
        <v>11.99</v>
      </c>
    </row>
    <row r="58" spans="1:7" s="17" customFormat="1" ht="12" x14ac:dyDescent="0.2">
      <c r="A58" s="273"/>
      <c r="B58" s="73" t="s">
        <v>84</v>
      </c>
      <c r="C58" s="59">
        <v>7896235354055</v>
      </c>
      <c r="D58" s="79" t="s">
        <v>257</v>
      </c>
      <c r="E58" s="237" t="s">
        <v>260</v>
      </c>
      <c r="F58" s="61"/>
      <c r="G58" s="62">
        <v>11.99</v>
      </c>
    </row>
    <row r="59" spans="1:7" s="17" customFormat="1" ht="12" x14ac:dyDescent="0.2">
      <c r="A59" s="273"/>
      <c r="B59" s="73" t="s">
        <v>84</v>
      </c>
      <c r="C59" s="59">
        <v>78907850</v>
      </c>
      <c r="D59" s="79" t="s">
        <v>257</v>
      </c>
      <c r="E59" s="237" t="s">
        <v>261</v>
      </c>
      <c r="F59" s="61"/>
      <c r="G59" s="62">
        <v>11.99</v>
      </c>
    </row>
    <row r="60" spans="1:7" s="17" customFormat="1" ht="12" x14ac:dyDescent="0.2">
      <c r="A60" s="273"/>
      <c r="B60" s="73" t="s">
        <v>84</v>
      </c>
      <c r="C60" s="59">
        <v>78914957</v>
      </c>
      <c r="D60" s="79" t="s">
        <v>257</v>
      </c>
      <c r="E60" s="237" t="s">
        <v>262</v>
      </c>
      <c r="F60" s="61"/>
      <c r="G60" s="62">
        <v>11.99</v>
      </c>
    </row>
    <row r="61" spans="1:7" s="17" customFormat="1" ht="12" x14ac:dyDescent="0.2">
      <c r="A61" s="273"/>
      <c r="B61" s="73" t="s">
        <v>84</v>
      </c>
      <c r="C61" s="59">
        <v>78922686</v>
      </c>
      <c r="D61" s="79" t="s">
        <v>257</v>
      </c>
      <c r="E61" s="237" t="s">
        <v>263</v>
      </c>
      <c r="F61" s="61"/>
      <c r="G61" s="62">
        <v>11.99</v>
      </c>
    </row>
    <row r="62" spans="1:7" s="17" customFormat="1" ht="12" x14ac:dyDescent="0.2">
      <c r="A62" s="273"/>
      <c r="B62" s="73" t="s">
        <v>84</v>
      </c>
      <c r="C62" s="59">
        <v>7898919411931</v>
      </c>
      <c r="D62" s="79" t="s">
        <v>264</v>
      </c>
      <c r="E62" s="237" t="s">
        <v>265</v>
      </c>
      <c r="F62" s="61"/>
      <c r="G62" s="62">
        <v>15.99</v>
      </c>
    </row>
    <row r="63" spans="1:7" s="17" customFormat="1" ht="12" x14ac:dyDescent="0.2">
      <c r="A63" s="273"/>
      <c r="B63" s="73" t="s">
        <v>84</v>
      </c>
      <c r="C63" s="59">
        <v>7898919411917</v>
      </c>
      <c r="D63" s="79" t="s">
        <v>264</v>
      </c>
      <c r="E63" s="237" t="s">
        <v>266</v>
      </c>
      <c r="F63" s="61"/>
      <c r="G63" s="62">
        <v>15.99</v>
      </c>
    </row>
    <row r="64" spans="1:7" s="17" customFormat="1" ht="12" x14ac:dyDescent="0.2">
      <c r="A64" s="273"/>
      <c r="B64" s="73" t="s">
        <v>84</v>
      </c>
      <c r="C64" s="59">
        <v>7896235354048</v>
      </c>
      <c r="D64" s="79" t="s">
        <v>264</v>
      </c>
      <c r="E64" s="237" t="s">
        <v>259</v>
      </c>
      <c r="F64" s="61"/>
      <c r="G64" s="62">
        <v>15.99</v>
      </c>
    </row>
    <row r="65" spans="1:7" s="17" customFormat="1" ht="12" x14ac:dyDescent="0.2">
      <c r="A65" s="273"/>
      <c r="B65" s="73" t="s">
        <v>84</v>
      </c>
      <c r="C65" s="59">
        <v>7896235354031</v>
      </c>
      <c r="D65" s="79" t="s">
        <v>264</v>
      </c>
      <c r="E65" s="237" t="s">
        <v>260</v>
      </c>
      <c r="F65" s="61"/>
      <c r="G65" s="62">
        <v>15.99</v>
      </c>
    </row>
    <row r="66" spans="1:7" s="17" customFormat="1" ht="12" x14ac:dyDescent="0.2">
      <c r="A66" s="273"/>
      <c r="B66" s="73" t="s">
        <v>84</v>
      </c>
      <c r="C66" s="59">
        <v>7896235354017</v>
      </c>
      <c r="D66" s="79" t="s">
        <v>264</v>
      </c>
      <c r="E66" s="237" t="s">
        <v>261</v>
      </c>
      <c r="F66" s="61"/>
      <c r="G66" s="62">
        <v>15.99</v>
      </c>
    </row>
    <row r="67" spans="1:7" s="17" customFormat="1" ht="12" x14ac:dyDescent="0.2">
      <c r="A67" s="273"/>
      <c r="B67" s="73" t="s">
        <v>84</v>
      </c>
      <c r="C67" s="59">
        <v>7896235354024</v>
      </c>
      <c r="D67" s="79" t="s">
        <v>264</v>
      </c>
      <c r="E67" s="237" t="s">
        <v>267</v>
      </c>
      <c r="F67" s="61"/>
      <c r="G67" s="62">
        <v>15.99</v>
      </c>
    </row>
    <row r="68" spans="1:7" s="17" customFormat="1" ht="12" x14ac:dyDescent="0.2">
      <c r="A68" s="273"/>
      <c r="B68" s="73" t="s">
        <v>84</v>
      </c>
      <c r="C68" s="59">
        <v>7891350037159</v>
      </c>
      <c r="D68" s="79" t="s">
        <v>268</v>
      </c>
      <c r="E68" s="237" t="s">
        <v>269</v>
      </c>
      <c r="F68" s="61"/>
      <c r="G68" s="62">
        <v>10.99</v>
      </c>
    </row>
    <row r="69" spans="1:7" s="17" customFormat="1" ht="12" x14ac:dyDescent="0.2">
      <c r="A69" s="273"/>
      <c r="B69" s="73" t="s">
        <v>84</v>
      </c>
      <c r="C69" s="59">
        <v>7891350047813</v>
      </c>
      <c r="D69" s="79" t="s">
        <v>268</v>
      </c>
      <c r="E69" s="237" t="s">
        <v>270</v>
      </c>
      <c r="F69" s="61"/>
      <c r="G69" s="62">
        <v>10.99</v>
      </c>
    </row>
    <row r="70" spans="1:7" s="17" customFormat="1" ht="12" x14ac:dyDescent="0.2">
      <c r="A70" s="273"/>
      <c r="B70" s="73" t="s">
        <v>84</v>
      </c>
      <c r="C70" s="59">
        <v>7891350037012</v>
      </c>
      <c r="D70" s="79" t="s">
        <v>268</v>
      </c>
      <c r="E70" s="237" t="s">
        <v>271</v>
      </c>
      <c r="F70" s="61"/>
      <c r="G70" s="62">
        <v>10.99</v>
      </c>
    </row>
    <row r="71" spans="1:7" s="17" customFormat="1" ht="12" x14ac:dyDescent="0.2">
      <c r="A71" s="273"/>
      <c r="B71" s="73" t="s">
        <v>84</v>
      </c>
      <c r="C71" s="59">
        <v>7891350037005</v>
      </c>
      <c r="D71" s="79" t="s">
        <v>268</v>
      </c>
      <c r="E71" s="237" t="s">
        <v>272</v>
      </c>
      <c r="F71" s="61"/>
      <c r="G71" s="62">
        <v>10.99</v>
      </c>
    </row>
    <row r="72" spans="1:7" s="17" customFormat="1" ht="12" x14ac:dyDescent="0.2">
      <c r="A72" s="273"/>
      <c r="B72" s="73" t="s">
        <v>84</v>
      </c>
      <c r="C72" s="59">
        <v>7891350047806</v>
      </c>
      <c r="D72" s="79" t="s">
        <v>268</v>
      </c>
      <c r="E72" s="237" t="s">
        <v>273</v>
      </c>
      <c r="F72" s="61"/>
      <c r="G72" s="62">
        <v>10.99</v>
      </c>
    </row>
    <row r="73" spans="1:7" s="17" customFormat="1" ht="12" x14ac:dyDescent="0.2">
      <c r="A73" s="273"/>
      <c r="B73" s="73" t="s">
        <v>84</v>
      </c>
      <c r="C73" s="59">
        <v>7891350037050</v>
      </c>
      <c r="D73" s="79" t="s">
        <v>268</v>
      </c>
      <c r="E73" s="237" t="s">
        <v>274</v>
      </c>
      <c r="F73" s="61"/>
      <c r="G73" s="62">
        <v>10.99</v>
      </c>
    </row>
    <row r="74" spans="1:7" s="17" customFormat="1" ht="12" x14ac:dyDescent="0.2">
      <c r="A74" s="273"/>
      <c r="B74" s="73" t="s">
        <v>84</v>
      </c>
      <c r="C74" s="59">
        <v>7891350038552</v>
      </c>
      <c r="D74" s="79" t="s">
        <v>268</v>
      </c>
      <c r="E74" s="237" t="s">
        <v>275</v>
      </c>
      <c r="F74" s="61"/>
      <c r="G74" s="62">
        <v>10.99</v>
      </c>
    </row>
    <row r="75" spans="1:7" s="17" customFormat="1" ht="12" x14ac:dyDescent="0.2">
      <c r="A75" s="273"/>
      <c r="B75" s="73" t="s">
        <v>84</v>
      </c>
      <c r="C75" s="59">
        <v>7891350037098</v>
      </c>
      <c r="D75" s="79" t="s">
        <v>268</v>
      </c>
      <c r="E75" s="237" t="s">
        <v>276</v>
      </c>
      <c r="F75" s="61"/>
      <c r="G75" s="62">
        <v>10.99</v>
      </c>
    </row>
    <row r="76" spans="1:7" s="17" customFormat="1" ht="12" x14ac:dyDescent="0.2">
      <c r="A76" s="273"/>
      <c r="B76" s="73" t="s">
        <v>84</v>
      </c>
      <c r="C76" s="59">
        <v>7891350037067</v>
      </c>
      <c r="D76" s="79" t="s">
        <v>268</v>
      </c>
      <c r="E76" s="237" t="s">
        <v>277</v>
      </c>
      <c r="F76" s="61"/>
      <c r="G76" s="62">
        <v>10.99</v>
      </c>
    </row>
    <row r="77" spans="1:7" s="17" customFormat="1" ht="12" x14ac:dyDescent="0.2">
      <c r="A77" s="273"/>
      <c r="B77" s="73" t="s">
        <v>84</v>
      </c>
      <c r="C77" s="59">
        <v>7891350041101</v>
      </c>
      <c r="D77" s="79" t="s">
        <v>268</v>
      </c>
      <c r="E77" s="237" t="s">
        <v>278</v>
      </c>
      <c r="F77" s="61"/>
      <c r="G77" s="62">
        <v>10.99</v>
      </c>
    </row>
    <row r="78" spans="1:7" s="17" customFormat="1" ht="12" x14ac:dyDescent="0.2">
      <c r="A78" s="273"/>
      <c r="B78" s="73" t="s">
        <v>84</v>
      </c>
      <c r="C78" s="59">
        <v>7891350047776</v>
      </c>
      <c r="D78" s="79" t="s">
        <v>268</v>
      </c>
      <c r="E78" s="237" t="s">
        <v>279</v>
      </c>
      <c r="F78" s="61"/>
      <c r="G78" s="62">
        <v>10.99</v>
      </c>
    </row>
    <row r="79" spans="1:7" s="17" customFormat="1" ht="12" x14ac:dyDescent="0.2">
      <c r="A79" s="273"/>
      <c r="B79" s="73" t="s">
        <v>84</v>
      </c>
      <c r="C79" s="59">
        <v>7891350047769</v>
      </c>
      <c r="D79" s="79" t="s">
        <v>268</v>
      </c>
      <c r="E79" s="237" t="s">
        <v>280</v>
      </c>
      <c r="F79" s="61"/>
      <c r="G79" s="62">
        <v>10.99</v>
      </c>
    </row>
    <row r="80" spans="1:7" s="17" customFormat="1" ht="12" x14ac:dyDescent="0.2">
      <c r="A80" s="273"/>
      <c r="B80" s="73" t="s">
        <v>84</v>
      </c>
      <c r="C80" s="59">
        <v>7891350047783</v>
      </c>
      <c r="D80" s="79" t="s">
        <v>268</v>
      </c>
      <c r="E80" s="237" t="s">
        <v>281</v>
      </c>
      <c r="F80" s="61"/>
      <c r="G80" s="62">
        <v>10.99</v>
      </c>
    </row>
    <row r="81" spans="1:7" s="17" customFormat="1" ht="12" x14ac:dyDescent="0.2">
      <c r="A81" s="273"/>
      <c r="B81" s="73" t="s">
        <v>84</v>
      </c>
      <c r="C81" s="59">
        <v>7891350037029</v>
      </c>
      <c r="D81" s="79" t="s">
        <v>268</v>
      </c>
      <c r="E81" s="237" t="s">
        <v>282</v>
      </c>
      <c r="F81" s="61"/>
      <c r="G81" s="62">
        <v>10.99</v>
      </c>
    </row>
    <row r="82" spans="1:7" s="17" customFormat="1" ht="12" x14ac:dyDescent="0.2">
      <c r="A82" s="273"/>
      <c r="B82" s="73" t="s">
        <v>84</v>
      </c>
      <c r="C82" s="59">
        <v>7891350037104</v>
      </c>
      <c r="D82" s="79" t="s">
        <v>268</v>
      </c>
      <c r="E82" s="237" t="s">
        <v>283</v>
      </c>
      <c r="F82" s="61"/>
      <c r="G82" s="62">
        <v>10.99</v>
      </c>
    </row>
    <row r="83" spans="1:7" s="17" customFormat="1" ht="12" x14ac:dyDescent="0.2">
      <c r="A83" s="273"/>
      <c r="B83" s="73" t="s">
        <v>84</v>
      </c>
      <c r="C83" s="59">
        <v>7891350037173</v>
      </c>
      <c r="D83" s="79" t="s">
        <v>268</v>
      </c>
      <c r="E83" s="237" t="s">
        <v>284</v>
      </c>
      <c r="F83" s="61"/>
      <c r="G83" s="62">
        <v>10.99</v>
      </c>
    </row>
    <row r="84" spans="1:7" s="17" customFormat="1" ht="12" x14ac:dyDescent="0.2">
      <c r="A84" s="273"/>
      <c r="B84" s="73" t="s">
        <v>84</v>
      </c>
      <c r="C84" s="59">
        <v>7891350037036</v>
      </c>
      <c r="D84" s="79" t="s">
        <v>268</v>
      </c>
      <c r="E84" s="237" t="s">
        <v>285</v>
      </c>
      <c r="F84" s="61"/>
      <c r="G84" s="62">
        <v>10.99</v>
      </c>
    </row>
    <row r="85" spans="1:7" s="17" customFormat="1" ht="12" x14ac:dyDescent="0.2">
      <c r="A85" s="273"/>
      <c r="B85" s="73" t="s">
        <v>84</v>
      </c>
      <c r="C85" s="59">
        <v>7891350041095</v>
      </c>
      <c r="D85" s="79" t="s">
        <v>268</v>
      </c>
      <c r="E85" s="237" t="s">
        <v>286</v>
      </c>
      <c r="F85" s="61"/>
      <c r="G85" s="62">
        <v>10.99</v>
      </c>
    </row>
    <row r="86" spans="1:7" s="17" customFormat="1" ht="12" x14ac:dyDescent="0.2">
      <c r="A86" s="273"/>
      <c r="B86" s="73" t="s">
        <v>84</v>
      </c>
      <c r="C86" s="59">
        <v>7891350047790</v>
      </c>
      <c r="D86" s="79" t="s">
        <v>268</v>
      </c>
      <c r="E86" s="237" t="s">
        <v>287</v>
      </c>
      <c r="F86" s="61"/>
      <c r="G86" s="62">
        <v>10.99</v>
      </c>
    </row>
    <row r="87" spans="1:7" s="17" customFormat="1" ht="12" x14ac:dyDescent="0.2">
      <c r="A87" s="273"/>
      <c r="B87" s="73" t="s">
        <v>84</v>
      </c>
      <c r="C87" s="59">
        <v>7891350041088</v>
      </c>
      <c r="D87" s="79" t="s">
        <v>268</v>
      </c>
      <c r="E87" s="237" t="s">
        <v>288</v>
      </c>
      <c r="F87" s="61"/>
      <c r="G87" s="62">
        <v>10.99</v>
      </c>
    </row>
    <row r="88" spans="1:7" s="17" customFormat="1" ht="12" x14ac:dyDescent="0.2">
      <c r="A88" s="273"/>
      <c r="B88" s="73" t="s">
        <v>84</v>
      </c>
      <c r="C88" s="59">
        <v>7891350037128</v>
      </c>
      <c r="D88" s="79" t="s">
        <v>268</v>
      </c>
      <c r="E88" s="237" t="s">
        <v>289</v>
      </c>
      <c r="F88" s="61"/>
      <c r="G88" s="62">
        <v>10.99</v>
      </c>
    </row>
    <row r="89" spans="1:7" s="17" customFormat="1" ht="12" x14ac:dyDescent="0.2">
      <c r="A89" s="273"/>
      <c r="B89" s="73" t="s">
        <v>84</v>
      </c>
      <c r="C89" s="59">
        <v>7891350037135</v>
      </c>
      <c r="D89" s="79" t="s">
        <v>268</v>
      </c>
      <c r="E89" s="237" t="s">
        <v>290</v>
      </c>
      <c r="F89" s="61"/>
      <c r="G89" s="62">
        <v>10.99</v>
      </c>
    </row>
    <row r="90" spans="1:7" s="17" customFormat="1" ht="12" x14ac:dyDescent="0.2">
      <c r="A90" s="274"/>
      <c r="B90" s="73" t="s">
        <v>84</v>
      </c>
      <c r="C90" s="59">
        <v>7891350037142</v>
      </c>
      <c r="D90" s="79" t="s">
        <v>268</v>
      </c>
      <c r="E90" s="237" t="s">
        <v>291</v>
      </c>
      <c r="F90" s="61"/>
      <c r="G90" s="62">
        <v>10.99</v>
      </c>
    </row>
    <row r="91" spans="1:7" s="17" customFormat="1" ht="12" x14ac:dyDescent="0.2">
      <c r="A91" s="272" t="s">
        <v>61</v>
      </c>
      <c r="B91" s="58" t="s">
        <v>41</v>
      </c>
      <c r="C91" s="59">
        <v>7896013502937</v>
      </c>
      <c r="D91" s="60" t="s">
        <v>85</v>
      </c>
      <c r="E91" s="238"/>
      <c r="F91" s="61"/>
      <c r="G91" s="62">
        <v>12.99</v>
      </c>
    </row>
    <row r="92" spans="1:7" s="17" customFormat="1" ht="12" x14ac:dyDescent="0.2">
      <c r="A92" s="273"/>
      <c r="B92" s="58" t="s">
        <v>41</v>
      </c>
      <c r="C92" s="59">
        <v>7896013548409</v>
      </c>
      <c r="D92" s="60" t="s">
        <v>86</v>
      </c>
      <c r="E92" s="238"/>
      <c r="F92" s="61"/>
      <c r="G92" s="62">
        <v>12.99</v>
      </c>
    </row>
    <row r="93" spans="1:7" s="17" customFormat="1" ht="12" x14ac:dyDescent="0.2">
      <c r="A93" s="273"/>
      <c r="B93" s="58" t="s">
        <v>41</v>
      </c>
      <c r="C93" s="59">
        <v>7896013502906</v>
      </c>
      <c r="D93" s="60" t="s">
        <v>87</v>
      </c>
      <c r="E93" s="238"/>
      <c r="F93" s="61"/>
      <c r="G93" s="62">
        <v>12.99</v>
      </c>
    </row>
    <row r="94" spans="1:7" s="17" customFormat="1" ht="12" x14ac:dyDescent="0.2">
      <c r="A94" s="273"/>
      <c r="B94" s="58" t="s">
        <v>41</v>
      </c>
      <c r="C94" s="59">
        <v>7896013502944</v>
      </c>
      <c r="D94" s="60" t="s">
        <v>88</v>
      </c>
      <c r="E94" s="238"/>
      <c r="F94" s="61"/>
      <c r="G94" s="62">
        <v>12.99</v>
      </c>
    </row>
    <row r="95" spans="1:7" s="17" customFormat="1" ht="12" x14ac:dyDescent="0.2">
      <c r="A95" s="273"/>
      <c r="B95" s="58" t="s">
        <v>41</v>
      </c>
      <c r="C95" s="59">
        <v>7896013558033</v>
      </c>
      <c r="D95" s="60" t="s">
        <v>89</v>
      </c>
      <c r="E95" s="238"/>
      <c r="F95" s="61"/>
      <c r="G95" s="62">
        <v>12.99</v>
      </c>
    </row>
    <row r="96" spans="1:7" s="17" customFormat="1" ht="12" x14ac:dyDescent="0.2">
      <c r="A96" s="273"/>
      <c r="B96" s="58" t="s">
        <v>41</v>
      </c>
      <c r="C96" s="59">
        <v>7896013502166</v>
      </c>
      <c r="D96" s="60" t="s">
        <v>90</v>
      </c>
      <c r="E96" s="238"/>
      <c r="F96" s="61"/>
      <c r="G96" s="62">
        <v>12.99</v>
      </c>
    </row>
    <row r="97" spans="1:7" s="17" customFormat="1" ht="12" x14ac:dyDescent="0.2">
      <c r="A97" s="273"/>
      <c r="B97" s="58" t="s">
        <v>41</v>
      </c>
      <c r="C97" s="59">
        <v>7896013500384</v>
      </c>
      <c r="D97" s="60" t="s">
        <v>91</v>
      </c>
      <c r="E97" s="238"/>
      <c r="F97" s="61"/>
      <c r="G97" s="62">
        <v>12.99</v>
      </c>
    </row>
    <row r="98" spans="1:7" s="17" customFormat="1" ht="12" x14ac:dyDescent="0.2">
      <c r="A98" s="273"/>
      <c r="B98" s="58" t="s">
        <v>41</v>
      </c>
      <c r="C98" s="59">
        <v>7896013502791</v>
      </c>
      <c r="D98" s="60" t="s">
        <v>92</v>
      </c>
      <c r="E98" s="238"/>
      <c r="F98" s="61"/>
      <c r="G98" s="62">
        <v>12.99</v>
      </c>
    </row>
    <row r="99" spans="1:7" s="17" customFormat="1" ht="12" x14ac:dyDescent="0.2">
      <c r="A99" s="273"/>
      <c r="B99" s="58" t="s">
        <v>41</v>
      </c>
      <c r="C99" s="59">
        <v>7896013554363</v>
      </c>
      <c r="D99" s="60" t="s">
        <v>93</v>
      </c>
      <c r="E99" s="238"/>
      <c r="F99" s="61"/>
      <c r="G99" s="62">
        <v>12.99</v>
      </c>
    </row>
    <row r="100" spans="1:7" s="17" customFormat="1" ht="12" x14ac:dyDescent="0.2">
      <c r="A100" s="273"/>
      <c r="B100" s="58" t="s">
        <v>41</v>
      </c>
      <c r="C100" s="59">
        <v>7896013516231</v>
      </c>
      <c r="D100" s="60" t="s">
        <v>94</v>
      </c>
      <c r="E100" s="238"/>
      <c r="F100" s="61"/>
      <c r="G100" s="62">
        <v>12.99</v>
      </c>
    </row>
    <row r="101" spans="1:7" s="17" customFormat="1" ht="12" x14ac:dyDescent="0.2">
      <c r="A101" s="273"/>
      <c r="B101" s="58" t="s">
        <v>41</v>
      </c>
      <c r="C101" s="59">
        <v>7896013507055</v>
      </c>
      <c r="D101" s="60" t="s">
        <v>292</v>
      </c>
      <c r="E101" s="238" t="s">
        <v>293</v>
      </c>
      <c r="F101" s="61"/>
      <c r="G101" s="62">
        <v>14.992900000000002</v>
      </c>
    </row>
    <row r="102" spans="1:7" s="17" customFormat="1" ht="12" x14ac:dyDescent="0.2">
      <c r="A102" s="273"/>
      <c r="B102" s="58" t="s">
        <v>41</v>
      </c>
      <c r="C102" s="59">
        <v>7896013553908</v>
      </c>
      <c r="D102" s="60" t="s">
        <v>292</v>
      </c>
      <c r="E102" s="238" t="s">
        <v>294</v>
      </c>
      <c r="F102" s="61"/>
      <c r="G102" s="62">
        <v>14.992900000000002</v>
      </c>
    </row>
    <row r="103" spans="1:7" s="17" customFormat="1" ht="12" x14ac:dyDescent="0.2">
      <c r="A103" s="273"/>
      <c r="B103" s="58" t="s">
        <v>41</v>
      </c>
      <c r="C103" s="59">
        <v>7896013561880</v>
      </c>
      <c r="D103" s="60" t="s">
        <v>292</v>
      </c>
      <c r="E103" s="238" t="s">
        <v>295</v>
      </c>
      <c r="F103" s="61"/>
      <c r="G103" s="62">
        <v>14.992900000000002</v>
      </c>
    </row>
    <row r="104" spans="1:7" s="17" customFormat="1" ht="12" x14ac:dyDescent="0.2">
      <c r="A104" s="273"/>
      <c r="B104" s="58" t="s">
        <v>41</v>
      </c>
      <c r="C104" s="59">
        <v>7896013552185</v>
      </c>
      <c r="D104" s="60" t="s">
        <v>292</v>
      </c>
      <c r="E104" s="238" t="s">
        <v>296</v>
      </c>
      <c r="F104" s="61"/>
      <c r="G104" s="62">
        <v>14.992900000000002</v>
      </c>
    </row>
    <row r="105" spans="1:7" s="17" customFormat="1" ht="12" x14ac:dyDescent="0.2">
      <c r="A105" s="273"/>
      <c r="B105" s="58" t="s">
        <v>41</v>
      </c>
      <c r="C105" s="59">
        <v>7896013563532</v>
      </c>
      <c r="D105" s="60" t="s">
        <v>292</v>
      </c>
      <c r="E105" s="238" t="s">
        <v>297</v>
      </c>
      <c r="F105" s="61"/>
      <c r="G105" s="62">
        <v>14.992900000000002</v>
      </c>
    </row>
    <row r="106" spans="1:7" s="17" customFormat="1" ht="12" x14ac:dyDescent="0.2">
      <c r="A106" s="273"/>
      <c r="B106" s="58" t="s">
        <v>41</v>
      </c>
      <c r="C106" s="59">
        <v>7896013569817</v>
      </c>
      <c r="D106" s="60" t="s">
        <v>292</v>
      </c>
      <c r="E106" s="238" t="s">
        <v>298</v>
      </c>
      <c r="F106" s="61"/>
      <c r="G106" s="62">
        <v>14.992900000000002</v>
      </c>
    </row>
    <row r="107" spans="1:7" s="17" customFormat="1" ht="12" x14ac:dyDescent="0.2">
      <c r="A107" s="273"/>
      <c r="B107" s="58" t="s">
        <v>41</v>
      </c>
      <c r="C107" s="59">
        <v>7896013503866</v>
      </c>
      <c r="D107" s="60" t="s">
        <v>292</v>
      </c>
      <c r="E107" s="238" t="s">
        <v>299</v>
      </c>
      <c r="F107" s="61"/>
      <c r="G107" s="62">
        <v>14.992900000000002</v>
      </c>
    </row>
    <row r="108" spans="1:7" s="17" customFormat="1" ht="12" x14ac:dyDescent="0.2">
      <c r="A108" s="273"/>
      <c r="B108" s="58" t="s">
        <v>41</v>
      </c>
      <c r="C108" s="59">
        <v>7896013568568</v>
      </c>
      <c r="D108" s="60" t="s">
        <v>292</v>
      </c>
      <c r="E108" s="238" t="s">
        <v>300</v>
      </c>
      <c r="F108" s="61"/>
      <c r="G108" s="62">
        <v>14.992900000000002</v>
      </c>
    </row>
    <row r="109" spans="1:7" s="17" customFormat="1" ht="12" x14ac:dyDescent="0.2">
      <c r="A109" s="273"/>
      <c r="B109" s="58" t="s">
        <v>41</v>
      </c>
      <c r="C109" s="59">
        <v>7896013506188</v>
      </c>
      <c r="D109" s="60" t="s">
        <v>292</v>
      </c>
      <c r="E109" s="238" t="s">
        <v>301</v>
      </c>
      <c r="F109" s="61"/>
      <c r="G109" s="62">
        <v>14.992900000000002</v>
      </c>
    </row>
    <row r="110" spans="1:7" s="17" customFormat="1" ht="12" x14ac:dyDescent="0.2">
      <c r="A110" s="273"/>
      <c r="B110" s="58" t="s">
        <v>41</v>
      </c>
      <c r="C110" s="59">
        <v>7896013562306</v>
      </c>
      <c r="D110" s="60" t="s">
        <v>292</v>
      </c>
      <c r="E110" s="238" t="s">
        <v>302</v>
      </c>
      <c r="F110" s="61"/>
      <c r="G110" s="62">
        <v>14.992900000000002</v>
      </c>
    </row>
    <row r="111" spans="1:7" s="17" customFormat="1" ht="12" x14ac:dyDescent="0.2">
      <c r="A111" s="273"/>
      <c r="B111" s="58" t="s">
        <v>41</v>
      </c>
      <c r="C111" s="59">
        <v>7896013557111</v>
      </c>
      <c r="D111" s="60" t="s">
        <v>292</v>
      </c>
      <c r="E111" s="238" t="s">
        <v>303</v>
      </c>
      <c r="F111" s="61"/>
      <c r="G111" s="62">
        <v>14.992900000000002</v>
      </c>
    </row>
    <row r="112" spans="1:7" s="17" customFormat="1" ht="12" x14ac:dyDescent="0.2">
      <c r="A112" s="273"/>
      <c r="B112" s="58" t="s">
        <v>41</v>
      </c>
      <c r="C112" s="59">
        <v>7896013562252</v>
      </c>
      <c r="D112" s="60" t="s">
        <v>292</v>
      </c>
      <c r="E112" s="238" t="s">
        <v>304</v>
      </c>
      <c r="F112" s="61"/>
      <c r="G112" s="62">
        <v>14.992900000000002</v>
      </c>
    </row>
    <row r="113" spans="1:9" s="17" customFormat="1" ht="12" x14ac:dyDescent="0.2">
      <c r="A113" s="273"/>
      <c r="B113" s="58" t="s">
        <v>41</v>
      </c>
      <c r="C113" s="59">
        <v>7896013563525</v>
      </c>
      <c r="D113" s="60" t="s">
        <v>292</v>
      </c>
      <c r="E113" s="238" t="s">
        <v>305</v>
      </c>
      <c r="F113" s="61"/>
      <c r="G113" s="62">
        <v>14.992900000000002</v>
      </c>
    </row>
    <row r="114" spans="1:9" s="17" customFormat="1" ht="12" x14ac:dyDescent="0.2">
      <c r="A114" s="273"/>
      <c r="B114" s="58" t="s">
        <v>41</v>
      </c>
      <c r="C114" s="59">
        <v>7896013507024</v>
      </c>
      <c r="D114" s="60" t="s">
        <v>292</v>
      </c>
      <c r="E114" s="238" t="s">
        <v>306</v>
      </c>
      <c r="F114" s="61"/>
      <c r="G114" s="62">
        <v>14.992900000000002</v>
      </c>
    </row>
    <row r="115" spans="1:9" s="17" customFormat="1" ht="12" x14ac:dyDescent="0.2">
      <c r="A115" s="273"/>
      <c r="B115" s="58" t="s">
        <v>41</v>
      </c>
      <c r="C115" s="59">
        <v>7896013567080</v>
      </c>
      <c r="D115" s="60" t="s">
        <v>292</v>
      </c>
      <c r="E115" s="238" t="s">
        <v>307</v>
      </c>
      <c r="F115" s="61"/>
      <c r="G115" s="62">
        <v>14.992900000000002</v>
      </c>
    </row>
    <row r="116" spans="1:9" s="17" customFormat="1" ht="12" x14ac:dyDescent="0.2">
      <c r="A116" s="273"/>
      <c r="B116" s="58" t="s">
        <v>41</v>
      </c>
      <c r="C116" s="63">
        <v>7896013513223</v>
      </c>
      <c r="D116" s="60" t="s">
        <v>308</v>
      </c>
      <c r="E116" s="238" t="s">
        <v>309</v>
      </c>
      <c r="F116" s="61"/>
      <c r="G116" s="62">
        <v>13.99</v>
      </c>
    </row>
    <row r="117" spans="1:9" s="17" customFormat="1" ht="12" x14ac:dyDescent="0.2">
      <c r="A117" s="273"/>
      <c r="B117" s="58" t="s">
        <v>41</v>
      </c>
      <c r="C117" s="59">
        <v>7896013551447</v>
      </c>
      <c r="D117" s="60" t="s">
        <v>308</v>
      </c>
      <c r="E117" s="238" t="s">
        <v>310</v>
      </c>
      <c r="F117" s="61"/>
      <c r="G117" s="62">
        <v>13.99</v>
      </c>
      <c r="I117" s="21"/>
    </row>
    <row r="118" spans="1:9" s="17" customFormat="1" ht="12" x14ac:dyDescent="0.2">
      <c r="A118" s="273"/>
      <c r="B118" s="58" t="s">
        <v>41</v>
      </c>
      <c r="C118" s="64">
        <v>7896013501848</v>
      </c>
      <c r="D118" s="60" t="s">
        <v>311</v>
      </c>
      <c r="E118" s="238" t="s">
        <v>312</v>
      </c>
      <c r="F118" s="61"/>
      <c r="G118" s="62">
        <v>15.99</v>
      </c>
      <c r="I118" s="21"/>
    </row>
    <row r="119" spans="1:9" s="17" customFormat="1" ht="12" x14ac:dyDescent="0.2">
      <c r="A119" s="273"/>
      <c r="B119" s="58" t="s">
        <v>41</v>
      </c>
      <c r="C119" s="65">
        <v>7896013507017</v>
      </c>
      <c r="D119" s="60" t="s">
        <v>311</v>
      </c>
      <c r="E119" s="238" t="s">
        <v>313</v>
      </c>
      <c r="F119" s="61"/>
      <c r="G119" s="62">
        <v>15.99</v>
      </c>
    </row>
    <row r="120" spans="1:9" s="17" customFormat="1" ht="12" x14ac:dyDescent="0.2">
      <c r="A120" s="273"/>
      <c r="B120" s="58" t="s">
        <v>41</v>
      </c>
      <c r="C120" s="64">
        <v>7896013501824</v>
      </c>
      <c r="D120" s="60" t="s">
        <v>311</v>
      </c>
      <c r="E120" s="238" t="s">
        <v>314</v>
      </c>
      <c r="F120" s="61"/>
      <c r="G120" s="62">
        <v>15.99</v>
      </c>
    </row>
    <row r="121" spans="1:9" s="17" customFormat="1" ht="12" x14ac:dyDescent="0.2">
      <c r="A121" s="273"/>
      <c r="B121" s="58" t="s">
        <v>41</v>
      </c>
      <c r="C121" s="64">
        <v>7896013501831</v>
      </c>
      <c r="D121" s="60" t="s">
        <v>311</v>
      </c>
      <c r="E121" s="238" t="s">
        <v>315</v>
      </c>
      <c r="F121" s="61"/>
      <c r="G121" s="62">
        <v>15.99</v>
      </c>
    </row>
    <row r="122" spans="1:9" s="17" customFormat="1" ht="12" x14ac:dyDescent="0.2">
      <c r="A122" s="273"/>
      <c r="B122" s="58" t="s">
        <v>41</v>
      </c>
      <c r="C122" s="64">
        <v>7896013550747</v>
      </c>
      <c r="D122" s="60" t="s">
        <v>316</v>
      </c>
      <c r="E122" s="238" t="s">
        <v>317</v>
      </c>
      <c r="F122" s="61"/>
      <c r="G122" s="62">
        <v>27.99</v>
      </c>
    </row>
    <row r="123" spans="1:9" s="17" customFormat="1" ht="12" x14ac:dyDescent="0.2">
      <c r="A123" s="273"/>
      <c r="B123" s="58" t="s">
        <v>41</v>
      </c>
      <c r="C123" s="63">
        <v>7896013509608</v>
      </c>
      <c r="D123" s="60" t="s">
        <v>316</v>
      </c>
      <c r="E123" s="238" t="s">
        <v>318</v>
      </c>
      <c r="F123" s="61"/>
      <c r="G123" s="62">
        <v>27.99</v>
      </c>
    </row>
    <row r="124" spans="1:9" s="17" customFormat="1" ht="12" x14ac:dyDescent="0.2">
      <c r="A124" s="273"/>
      <c r="B124" s="58" t="s">
        <v>41</v>
      </c>
      <c r="C124" s="64">
        <v>7896013547624</v>
      </c>
      <c r="D124" s="60" t="s">
        <v>316</v>
      </c>
      <c r="E124" s="238" t="s">
        <v>319</v>
      </c>
      <c r="F124" s="61"/>
      <c r="G124" s="62">
        <v>27.99</v>
      </c>
    </row>
    <row r="125" spans="1:9" s="17" customFormat="1" ht="12" x14ac:dyDescent="0.2">
      <c r="A125" s="273"/>
      <c r="B125" s="58" t="s">
        <v>41</v>
      </c>
      <c r="C125" s="64">
        <v>7896013536994</v>
      </c>
      <c r="D125" s="60" t="s">
        <v>316</v>
      </c>
      <c r="E125" s="238" t="s">
        <v>320</v>
      </c>
      <c r="F125" s="61"/>
      <c r="G125" s="62">
        <v>27.99</v>
      </c>
    </row>
    <row r="126" spans="1:9" s="17" customFormat="1" ht="12" x14ac:dyDescent="0.2">
      <c r="A126" s="274"/>
      <c r="B126" s="58" t="s">
        <v>41</v>
      </c>
      <c r="C126" s="63">
        <v>7896013507000</v>
      </c>
      <c r="D126" s="60" t="s">
        <v>321</v>
      </c>
      <c r="E126" s="238" t="s">
        <v>322</v>
      </c>
      <c r="F126" s="61"/>
      <c r="G126" s="62">
        <v>42.39</v>
      </c>
    </row>
    <row r="127" spans="1:9" s="17" customFormat="1" ht="24" x14ac:dyDescent="0.25">
      <c r="A127" s="253" t="s">
        <v>61</v>
      </c>
      <c r="B127" s="73" t="s">
        <v>95</v>
      </c>
      <c r="C127" s="77">
        <v>7908324403510</v>
      </c>
      <c r="D127" s="78" t="s">
        <v>323</v>
      </c>
      <c r="E127" s="239" t="s">
        <v>324</v>
      </c>
      <c r="F127" s="61"/>
      <c r="G127" s="62">
        <v>36.99</v>
      </c>
    </row>
    <row r="128" spans="1:9" s="17" customFormat="1" ht="24" x14ac:dyDescent="0.25">
      <c r="A128" s="254"/>
      <c r="B128" s="73" t="s">
        <v>95</v>
      </c>
      <c r="C128" s="77">
        <v>7908324409291</v>
      </c>
      <c r="D128" s="78" t="s">
        <v>325</v>
      </c>
      <c r="E128" s="239" t="s">
        <v>324</v>
      </c>
      <c r="F128" s="61"/>
      <c r="G128" s="62">
        <v>38.99</v>
      </c>
    </row>
    <row r="129" spans="1:7" s="17" customFormat="1" ht="24" x14ac:dyDescent="0.25">
      <c r="A129" s="254"/>
      <c r="B129" s="73" t="s">
        <v>95</v>
      </c>
      <c r="C129" s="77">
        <v>7908324409314</v>
      </c>
      <c r="D129" s="78" t="s">
        <v>325</v>
      </c>
      <c r="E129" s="239" t="s">
        <v>326</v>
      </c>
      <c r="F129" s="61"/>
      <c r="G129" s="62">
        <v>38.99</v>
      </c>
    </row>
    <row r="130" spans="1:7" s="17" customFormat="1" ht="24" x14ac:dyDescent="0.25">
      <c r="A130" s="254"/>
      <c r="B130" s="73" t="s">
        <v>95</v>
      </c>
      <c r="C130" s="77">
        <v>7908324409307</v>
      </c>
      <c r="D130" s="78" t="s">
        <v>325</v>
      </c>
      <c r="E130" s="239" t="s">
        <v>327</v>
      </c>
      <c r="F130" s="61"/>
      <c r="G130" s="62">
        <v>38.99</v>
      </c>
    </row>
    <row r="131" spans="1:7" s="17" customFormat="1" ht="24" x14ac:dyDescent="0.25">
      <c r="A131" s="254"/>
      <c r="B131" s="73" t="s">
        <v>95</v>
      </c>
      <c r="C131" s="77">
        <v>7897664169067</v>
      </c>
      <c r="D131" s="78" t="s">
        <v>325</v>
      </c>
      <c r="E131" s="239" t="s">
        <v>328</v>
      </c>
      <c r="F131" s="61"/>
      <c r="G131" s="62">
        <v>38.99</v>
      </c>
    </row>
    <row r="132" spans="1:7" s="17" customFormat="1" ht="24" x14ac:dyDescent="0.25">
      <c r="A132" s="254"/>
      <c r="B132" s="73" t="s">
        <v>95</v>
      </c>
      <c r="C132" s="77">
        <v>7897664169074</v>
      </c>
      <c r="D132" s="78" t="s">
        <v>325</v>
      </c>
      <c r="E132" s="239" t="s">
        <v>329</v>
      </c>
      <c r="F132" s="61"/>
      <c r="G132" s="62">
        <v>38.99</v>
      </c>
    </row>
    <row r="133" spans="1:7" s="17" customFormat="1" ht="24" x14ac:dyDescent="0.25">
      <c r="A133" s="254"/>
      <c r="B133" s="73" t="s">
        <v>95</v>
      </c>
      <c r="C133" s="77">
        <v>7897664169081</v>
      </c>
      <c r="D133" s="78" t="s">
        <v>325</v>
      </c>
      <c r="E133" s="239" t="s">
        <v>330</v>
      </c>
      <c r="F133" s="61"/>
      <c r="G133" s="62">
        <v>38.99</v>
      </c>
    </row>
    <row r="134" spans="1:7" s="17" customFormat="1" ht="24" x14ac:dyDescent="0.25">
      <c r="A134" s="254"/>
      <c r="B134" s="73" t="s">
        <v>95</v>
      </c>
      <c r="C134" s="77">
        <v>7897664169494</v>
      </c>
      <c r="D134" s="78" t="s">
        <v>331</v>
      </c>
      <c r="E134" s="239" t="s">
        <v>328</v>
      </c>
      <c r="F134" s="61"/>
      <c r="G134" s="62">
        <v>25.99</v>
      </c>
    </row>
    <row r="135" spans="1:7" s="17" customFormat="1" ht="24" x14ac:dyDescent="0.25">
      <c r="A135" s="254"/>
      <c r="B135" s="73" t="s">
        <v>95</v>
      </c>
      <c r="C135" s="77">
        <v>7897664169470</v>
      </c>
      <c r="D135" s="78" t="s">
        <v>331</v>
      </c>
      <c r="E135" s="239" t="s">
        <v>329</v>
      </c>
      <c r="F135" s="61"/>
      <c r="G135" s="62">
        <v>25.99</v>
      </c>
    </row>
    <row r="136" spans="1:7" s="17" customFormat="1" ht="24" x14ac:dyDescent="0.25">
      <c r="A136" s="255"/>
      <c r="B136" s="73" t="s">
        <v>95</v>
      </c>
      <c r="C136" s="77">
        <v>7897664169500</v>
      </c>
      <c r="D136" s="78" t="s">
        <v>331</v>
      </c>
      <c r="E136" s="239" t="s">
        <v>330</v>
      </c>
      <c r="F136" s="61"/>
      <c r="G136" s="62">
        <v>25.99</v>
      </c>
    </row>
    <row r="137" spans="1:7" s="17" customFormat="1" ht="12" x14ac:dyDescent="0.25">
      <c r="A137" s="272" t="s">
        <v>61</v>
      </c>
      <c r="B137" s="73" t="s">
        <v>43</v>
      </c>
      <c r="C137" s="77">
        <v>7908324404739</v>
      </c>
      <c r="D137" s="78" t="s">
        <v>332</v>
      </c>
      <c r="E137" s="239" t="s">
        <v>333</v>
      </c>
      <c r="F137" s="61"/>
      <c r="G137" s="62">
        <v>38.99</v>
      </c>
    </row>
    <row r="138" spans="1:7" s="17" customFormat="1" ht="12" x14ac:dyDescent="0.25">
      <c r="A138" s="273"/>
      <c r="B138" s="73" t="s">
        <v>43</v>
      </c>
      <c r="C138" s="77">
        <v>7908324408713</v>
      </c>
      <c r="D138" s="78" t="s">
        <v>332</v>
      </c>
      <c r="E138" s="239" t="s">
        <v>334</v>
      </c>
      <c r="F138" s="61"/>
      <c r="G138" s="62">
        <v>38.99</v>
      </c>
    </row>
    <row r="139" spans="1:7" s="17" customFormat="1" ht="12" x14ac:dyDescent="0.25">
      <c r="A139" s="273"/>
      <c r="B139" s="73" t="s">
        <v>43</v>
      </c>
      <c r="C139" s="77">
        <v>7908324404777</v>
      </c>
      <c r="D139" s="78" t="s">
        <v>332</v>
      </c>
      <c r="E139" s="239" t="s">
        <v>318</v>
      </c>
      <c r="F139" s="61"/>
      <c r="G139" s="62">
        <v>38.99</v>
      </c>
    </row>
    <row r="140" spans="1:7" s="17" customFormat="1" ht="12" x14ac:dyDescent="0.25">
      <c r="A140" s="273"/>
      <c r="B140" s="73" t="s">
        <v>43</v>
      </c>
      <c r="C140" s="77">
        <v>7908324404791</v>
      </c>
      <c r="D140" s="78" t="s">
        <v>332</v>
      </c>
      <c r="E140" s="239" t="s">
        <v>335</v>
      </c>
      <c r="F140" s="61"/>
      <c r="G140" s="62">
        <v>38.99</v>
      </c>
    </row>
    <row r="141" spans="1:7" s="17" customFormat="1" ht="12" x14ac:dyDescent="0.25">
      <c r="A141" s="273"/>
      <c r="B141" s="73" t="s">
        <v>43</v>
      </c>
      <c r="C141" s="77">
        <v>7908324405156</v>
      </c>
      <c r="D141" s="78" t="s">
        <v>332</v>
      </c>
      <c r="E141" s="239" t="s">
        <v>336</v>
      </c>
      <c r="F141" s="61"/>
      <c r="G141" s="62">
        <v>38.99</v>
      </c>
    </row>
    <row r="142" spans="1:7" s="17" customFormat="1" ht="12" x14ac:dyDescent="0.25">
      <c r="A142" s="273"/>
      <c r="B142" s="73" t="s">
        <v>43</v>
      </c>
      <c r="C142" s="77">
        <v>7908324404746</v>
      </c>
      <c r="D142" s="78" t="s">
        <v>337</v>
      </c>
      <c r="E142" s="239" t="s">
        <v>333</v>
      </c>
      <c r="F142" s="61"/>
      <c r="G142" s="62">
        <v>35.99</v>
      </c>
    </row>
    <row r="143" spans="1:7" s="17" customFormat="1" ht="12" x14ac:dyDescent="0.25">
      <c r="A143" s="273"/>
      <c r="B143" s="73" t="s">
        <v>43</v>
      </c>
      <c r="C143" s="77">
        <v>7908324408706</v>
      </c>
      <c r="D143" s="78" t="s">
        <v>337</v>
      </c>
      <c r="E143" s="239" t="s">
        <v>334</v>
      </c>
      <c r="F143" s="61"/>
      <c r="G143" s="62">
        <v>35.99</v>
      </c>
    </row>
    <row r="144" spans="1:7" s="17" customFormat="1" ht="12" x14ac:dyDescent="0.25">
      <c r="A144" s="273"/>
      <c r="B144" s="73" t="s">
        <v>43</v>
      </c>
      <c r="C144" s="77">
        <v>7908324404784</v>
      </c>
      <c r="D144" s="78" t="s">
        <v>337</v>
      </c>
      <c r="E144" s="239" t="s">
        <v>318</v>
      </c>
      <c r="F144" s="61"/>
      <c r="G144" s="62">
        <v>35.99</v>
      </c>
    </row>
    <row r="145" spans="1:7" s="17" customFormat="1" ht="12" x14ac:dyDescent="0.25">
      <c r="A145" s="273"/>
      <c r="B145" s="73" t="s">
        <v>43</v>
      </c>
      <c r="C145" s="77">
        <v>7908324404807</v>
      </c>
      <c r="D145" s="78" t="s">
        <v>337</v>
      </c>
      <c r="E145" s="239" t="s">
        <v>335</v>
      </c>
      <c r="F145" s="61"/>
      <c r="G145" s="62">
        <v>35.99</v>
      </c>
    </row>
    <row r="146" spans="1:7" s="17" customFormat="1" ht="12" x14ac:dyDescent="0.25">
      <c r="A146" s="273"/>
      <c r="B146" s="73" t="s">
        <v>43</v>
      </c>
      <c r="C146" s="77">
        <v>7908324405149</v>
      </c>
      <c r="D146" s="78" t="s">
        <v>337</v>
      </c>
      <c r="E146" s="239" t="s">
        <v>336</v>
      </c>
      <c r="F146" s="61"/>
      <c r="G146" s="62">
        <v>35.99</v>
      </c>
    </row>
    <row r="147" spans="1:7" s="17" customFormat="1" ht="12" x14ac:dyDescent="0.25">
      <c r="A147" s="273"/>
      <c r="B147" s="73" t="s">
        <v>43</v>
      </c>
      <c r="C147" s="77">
        <v>7908324405163</v>
      </c>
      <c r="D147" s="78" t="s">
        <v>338</v>
      </c>
      <c r="E147" s="239" t="s">
        <v>336</v>
      </c>
      <c r="F147" s="61"/>
      <c r="G147" s="62">
        <v>36.99</v>
      </c>
    </row>
    <row r="148" spans="1:7" s="17" customFormat="1" ht="12" x14ac:dyDescent="0.25">
      <c r="A148" s="273"/>
      <c r="B148" s="73" t="s">
        <v>43</v>
      </c>
      <c r="C148" s="77">
        <v>7908324408720</v>
      </c>
      <c r="D148" s="78" t="s">
        <v>339</v>
      </c>
      <c r="E148" s="239" t="s">
        <v>334</v>
      </c>
      <c r="F148" s="61"/>
      <c r="G148" s="62">
        <v>36.99</v>
      </c>
    </row>
    <row r="149" spans="1:7" s="17" customFormat="1" ht="12" x14ac:dyDescent="0.25">
      <c r="A149" s="273"/>
      <c r="B149" s="73" t="s">
        <v>43</v>
      </c>
      <c r="C149" s="77">
        <v>7908324404289</v>
      </c>
      <c r="D149" s="78" t="s">
        <v>339</v>
      </c>
      <c r="E149" s="239" t="s">
        <v>333</v>
      </c>
      <c r="F149" s="61"/>
      <c r="G149" s="62">
        <v>36.99</v>
      </c>
    </row>
    <row r="150" spans="1:7" s="17" customFormat="1" ht="12" x14ac:dyDescent="0.25">
      <c r="A150" s="274"/>
      <c r="B150" s="73" t="s">
        <v>43</v>
      </c>
      <c r="C150" s="77">
        <v>7908324402537</v>
      </c>
      <c r="D150" s="78" t="s">
        <v>339</v>
      </c>
      <c r="E150" s="239" t="s">
        <v>318</v>
      </c>
      <c r="F150" s="61"/>
      <c r="G150" s="62">
        <v>36.99</v>
      </c>
    </row>
    <row r="151" spans="1:7" s="17" customFormat="1" ht="12" x14ac:dyDescent="0.25">
      <c r="A151" s="278" t="s">
        <v>4</v>
      </c>
      <c r="B151" s="34" t="s">
        <v>25</v>
      </c>
      <c r="C151" s="18">
        <v>7896007550890</v>
      </c>
      <c r="D151" s="56" t="s">
        <v>96</v>
      </c>
      <c r="E151" s="240"/>
      <c r="F151" s="50"/>
      <c r="G151" s="16">
        <v>22.99</v>
      </c>
    </row>
    <row r="152" spans="1:7" s="17" customFormat="1" ht="12" x14ac:dyDescent="0.25">
      <c r="A152" s="279"/>
      <c r="B152" s="34" t="s">
        <v>25</v>
      </c>
      <c r="C152" s="18">
        <v>7896007550906</v>
      </c>
      <c r="D152" s="19" t="s">
        <v>97</v>
      </c>
      <c r="E152" s="241"/>
      <c r="F152" s="50"/>
      <c r="G152" s="16">
        <v>22.99</v>
      </c>
    </row>
    <row r="153" spans="1:7" s="17" customFormat="1" ht="12" x14ac:dyDescent="0.25">
      <c r="A153" s="253" t="s">
        <v>110</v>
      </c>
      <c r="B153" s="80" t="s">
        <v>25</v>
      </c>
      <c r="C153" s="89">
        <v>7896007542864</v>
      </c>
      <c r="D153" s="79" t="s">
        <v>340</v>
      </c>
      <c r="E153" s="237" t="s">
        <v>341</v>
      </c>
      <c r="F153" s="61"/>
      <c r="G153" s="62">
        <v>19.989999999999998</v>
      </c>
    </row>
    <row r="154" spans="1:7" s="17" customFormat="1" ht="12" x14ac:dyDescent="0.25">
      <c r="A154" s="254"/>
      <c r="B154" s="80" t="s">
        <v>25</v>
      </c>
      <c r="C154" s="74">
        <v>7896007542857</v>
      </c>
      <c r="D154" s="79" t="s">
        <v>340</v>
      </c>
      <c r="E154" s="237" t="s">
        <v>342</v>
      </c>
      <c r="F154" s="61"/>
      <c r="G154" s="62">
        <v>19.989999999999998</v>
      </c>
    </row>
    <row r="155" spans="1:7" s="17" customFormat="1" ht="12" x14ac:dyDescent="0.25">
      <c r="A155" s="254"/>
      <c r="B155" s="80" t="s">
        <v>25</v>
      </c>
      <c r="C155" s="74">
        <v>7896007542871</v>
      </c>
      <c r="D155" s="79" t="s">
        <v>340</v>
      </c>
      <c r="E155" s="237" t="s">
        <v>343</v>
      </c>
      <c r="F155" s="61"/>
      <c r="G155" s="62">
        <v>19.989999999999998</v>
      </c>
    </row>
    <row r="156" spans="1:7" s="17" customFormat="1" ht="12" x14ac:dyDescent="0.25">
      <c r="A156" s="254"/>
      <c r="B156" s="80" t="s">
        <v>25</v>
      </c>
      <c r="C156" s="74">
        <v>7896007554218</v>
      </c>
      <c r="D156" s="79" t="s">
        <v>98</v>
      </c>
      <c r="E156" s="237"/>
      <c r="F156" s="61"/>
      <c r="G156" s="62">
        <v>29.99</v>
      </c>
    </row>
    <row r="157" spans="1:7" s="17" customFormat="1" ht="12" x14ac:dyDescent="0.25">
      <c r="A157" s="254"/>
      <c r="B157" s="80" t="s">
        <v>25</v>
      </c>
      <c r="C157" s="74">
        <v>7896007551026</v>
      </c>
      <c r="D157" s="79" t="s">
        <v>99</v>
      </c>
      <c r="E157" s="237"/>
      <c r="F157" s="61"/>
      <c r="G157" s="62">
        <v>17.989999999999998</v>
      </c>
    </row>
    <row r="158" spans="1:7" s="17" customFormat="1" ht="12" x14ac:dyDescent="0.25">
      <c r="A158" s="254"/>
      <c r="B158" s="80" t="s">
        <v>25</v>
      </c>
      <c r="C158" s="89">
        <v>7896007550456</v>
      </c>
      <c r="D158" s="79" t="s">
        <v>344</v>
      </c>
      <c r="E158" s="237" t="s">
        <v>345</v>
      </c>
      <c r="F158" s="61"/>
      <c r="G158" s="62">
        <v>22.99</v>
      </c>
    </row>
    <row r="159" spans="1:7" s="17" customFormat="1" ht="12" x14ac:dyDescent="0.25">
      <c r="A159" s="254"/>
      <c r="B159" s="80" t="s">
        <v>25</v>
      </c>
      <c r="C159" s="74">
        <v>7896007546039</v>
      </c>
      <c r="D159" s="79" t="s">
        <v>344</v>
      </c>
      <c r="E159" s="237" t="s">
        <v>346</v>
      </c>
      <c r="F159" s="61"/>
      <c r="G159" s="62">
        <v>22.99</v>
      </c>
    </row>
    <row r="160" spans="1:7" s="17" customFormat="1" ht="12" x14ac:dyDescent="0.25">
      <c r="A160" s="254"/>
      <c r="B160" s="80" t="s">
        <v>25</v>
      </c>
      <c r="C160" s="89">
        <v>7896007551743</v>
      </c>
      <c r="D160" s="79" t="s">
        <v>100</v>
      </c>
      <c r="E160" s="237"/>
      <c r="F160" s="61"/>
      <c r="G160" s="62">
        <v>65.989999999999995</v>
      </c>
    </row>
    <row r="161" spans="1:8" s="17" customFormat="1" ht="12" x14ac:dyDescent="0.25">
      <c r="A161" s="254"/>
      <c r="B161" s="80" t="s">
        <v>25</v>
      </c>
      <c r="C161" s="74">
        <v>7896007551736</v>
      </c>
      <c r="D161" s="79" t="s">
        <v>101</v>
      </c>
      <c r="E161" s="237"/>
      <c r="F161" s="61"/>
      <c r="G161" s="62">
        <v>65.989999999999995</v>
      </c>
    </row>
    <row r="162" spans="1:8" s="17" customFormat="1" ht="12" x14ac:dyDescent="0.25">
      <c r="A162" s="254"/>
      <c r="B162" s="80" t="s">
        <v>25</v>
      </c>
      <c r="C162" s="89">
        <v>7896007550029</v>
      </c>
      <c r="D162" s="79" t="s">
        <v>102</v>
      </c>
      <c r="E162" s="237"/>
      <c r="F162" s="61"/>
      <c r="G162" s="62">
        <v>66.989999999999995</v>
      </c>
    </row>
    <row r="163" spans="1:8" s="17" customFormat="1" ht="12" x14ac:dyDescent="0.25">
      <c r="A163" s="254"/>
      <c r="B163" s="80" t="s">
        <v>25</v>
      </c>
      <c r="C163" s="89">
        <v>7896007550036</v>
      </c>
      <c r="D163" s="79" t="s">
        <v>103</v>
      </c>
      <c r="E163" s="237"/>
      <c r="F163" s="61"/>
      <c r="G163" s="62">
        <v>66.989999999999995</v>
      </c>
    </row>
    <row r="164" spans="1:8" s="17" customFormat="1" ht="12" x14ac:dyDescent="0.25">
      <c r="A164" s="254"/>
      <c r="B164" s="80" t="s">
        <v>25</v>
      </c>
      <c r="C164" s="74">
        <v>7896007553693</v>
      </c>
      <c r="D164" s="79" t="s">
        <v>104</v>
      </c>
      <c r="E164" s="237"/>
      <c r="F164" s="61"/>
      <c r="G164" s="62">
        <v>38.99</v>
      </c>
      <c r="H164" s="51">
        <f>G164/38</f>
        <v>1.0260526315789473</v>
      </c>
    </row>
    <row r="165" spans="1:8" s="17" customFormat="1" ht="12" x14ac:dyDescent="0.25">
      <c r="A165" s="254"/>
      <c r="B165" s="80" t="s">
        <v>25</v>
      </c>
      <c r="C165" s="74">
        <v>7896007553709</v>
      </c>
      <c r="D165" s="79" t="s">
        <v>105</v>
      </c>
      <c r="E165" s="237"/>
      <c r="F165" s="61"/>
      <c r="G165" s="62">
        <v>38.99</v>
      </c>
      <c r="H165" s="51">
        <f>G165/36</f>
        <v>1.0830555555555557</v>
      </c>
    </row>
    <row r="166" spans="1:8" s="17" customFormat="1" ht="12" x14ac:dyDescent="0.25">
      <c r="A166" s="254"/>
      <c r="B166" s="80" t="s">
        <v>25</v>
      </c>
      <c r="C166" s="89">
        <v>7896007553716</v>
      </c>
      <c r="D166" s="79" t="s">
        <v>106</v>
      </c>
      <c r="E166" s="237"/>
      <c r="F166" s="61"/>
      <c r="G166" s="62">
        <v>38.99</v>
      </c>
      <c r="H166" s="51">
        <f>G166/30</f>
        <v>1.2996666666666667</v>
      </c>
    </row>
    <row r="167" spans="1:8" s="17" customFormat="1" ht="12" x14ac:dyDescent="0.25">
      <c r="A167" s="254"/>
      <c r="B167" s="80" t="s">
        <v>25</v>
      </c>
      <c r="C167" s="74">
        <v>7896007553723</v>
      </c>
      <c r="D167" s="79" t="s">
        <v>107</v>
      </c>
      <c r="E167" s="237"/>
      <c r="F167" s="61"/>
      <c r="G167" s="62">
        <v>38.99</v>
      </c>
      <c r="H167" s="51">
        <f>G167/28</f>
        <v>1.3925000000000001</v>
      </c>
    </row>
    <row r="168" spans="1:8" s="17" customFormat="1" ht="12" x14ac:dyDescent="0.25">
      <c r="A168" s="254"/>
      <c r="B168" s="80" t="s">
        <v>25</v>
      </c>
      <c r="C168" s="74">
        <v>7896007553730</v>
      </c>
      <c r="D168" s="79" t="s">
        <v>108</v>
      </c>
      <c r="E168" s="237"/>
      <c r="F168" s="61"/>
      <c r="G168" s="62">
        <v>38.99</v>
      </c>
      <c r="H168" s="51">
        <f>G168/26</f>
        <v>1.4996153846153848</v>
      </c>
    </row>
    <row r="169" spans="1:8" s="17" customFormat="1" ht="12" x14ac:dyDescent="0.25">
      <c r="A169" s="254"/>
      <c r="B169" s="80" t="s">
        <v>25</v>
      </c>
      <c r="C169" s="74">
        <v>7896018700741</v>
      </c>
      <c r="D169" s="79" t="s">
        <v>347</v>
      </c>
      <c r="E169" s="237" t="s">
        <v>348</v>
      </c>
      <c r="F169" s="61"/>
      <c r="G169" s="62">
        <v>15.99</v>
      </c>
    </row>
    <row r="170" spans="1:8" s="17" customFormat="1" ht="12" x14ac:dyDescent="0.25">
      <c r="A170" s="254"/>
      <c r="B170" s="80" t="s">
        <v>25</v>
      </c>
      <c r="C170" s="74">
        <v>7896018700338</v>
      </c>
      <c r="D170" s="79" t="s">
        <v>347</v>
      </c>
      <c r="E170" s="237" t="s">
        <v>349</v>
      </c>
      <c r="F170" s="61"/>
      <c r="G170" s="62">
        <v>15.99</v>
      </c>
    </row>
    <row r="171" spans="1:8" s="17" customFormat="1" ht="12" x14ac:dyDescent="0.25">
      <c r="A171" s="254"/>
      <c r="B171" s="80" t="s">
        <v>25</v>
      </c>
      <c r="C171" s="74">
        <v>7896018704206</v>
      </c>
      <c r="D171" s="79" t="s">
        <v>350</v>
      </c>
      <c r="E171" s="237" t="s">
        <v>349</v>
      </c>
      <c r="F171" s="61"/>
      <c r="G171" s="62">
        <v>11.99</v>
      </c>
    </row>
    <row r="172" spans="1:8" s="17" customFormat="1" ht="12" x14ac:dyDescent="0.25">
      <c r="A172" s="254"/>
      <c r="B172" s="80" t="s">
        <v>25</v>
      </c>
      <c r="C172" s="74">
        <v>7896018750944</v>
      </c>
      <c r="D172" s="79" t="s">
        <v>350</v>
      </c>
      <c r="E172" s="237" t="s">
        <v>348</v>
      </c>
      <c r="F172" s="61"/>
      <c r="G172" s="62">
        <v>11.99</v>
      </c>
    </row>
    <row r="173" spans="1:8" s="17" customFormat="1" ht="12" x14ac:dyDescent="0.25">
      <c r="A173" s="255"/>
      <c r="B173" s="80" t="s">
        <v>25</v>
      </c>
      <c r="C173" s="74">
        <v>7896018751002</v>
      </c>
      <c r="D173" s="79" t="s">
        <v>109</v>
      </c>
      <c r="E173" s="237"/>
      <c r="F173" s="61"/>
      <c r="G173" s="62">
        <v>12.99</v>
      </c>
    </row>
    <row r="174" spans="1:8" s="17" customFormat="1" ht="12" x14ac:dyDescent="0.2">
      <c r="A174" s="253" t="s">
        <v>61</v>
      </c>
      <c r="B174" s="80" t="s">
        <v>27</v>
      </c>
      <c r="C174" s="59">
        <v>4005808189625</v>
      </c>
      <c r="D174" s="60" t="s">
        <v>351</v>
      </c>
      <c r="E174" s="238" t="s">
        <v>352</v>
      </c>
      <c r="F174" s="61"/>
      <c r="G174" s="62">
        <v>29.99</v>
      </c>
    </row>
    <row r="175" spans="1:8" s="17" customFormat="1" ht="12" x14ac:dyDescent="0.2">
      <c r="A175" s="254"/>
      <c r="B175" s="80" t="s">
        <v>27</v>
      </c>
      <c r="C175" s="59">
        <v>4005808189342</v>
      </c>
      <c r="D175" s="60" t="s">
        <v>351</v>
      </c>
      <c r="E175" s="238" t="s">
        <v>353</v>
      </c>
      <c r="F175" s="61"/>
      <c r="G175" s="62">
        <v>29.99</v>
      </c>
    </row>
    <row r="176" spans="1:8" s="17" customFormat="1" ht="12" x14ac:dyDescent="0.2">
      <c r="A176" s="254"/>
      <c r="B176" s="80" t="s">
        <v>27</v>
      </c>
      <c r="C176" s="59">
        <v>4006000005430</v>
      </c>
      <c r="D176" s="60" t="s">
        <v>354</v>
      </c>
      <c r="E176" s="238" t="s">
        <v>355</v>
      </c>
      <c r="F176" s="61"/>
      <c r="G176" s="62">
        <v>25.99</v>
      </c>
    </row>
    <row r="177" spans="1:7" s="17" customFormat="1" ht="12" x14ac:dyDescent="0.2">
      <c r="A177" s="254"/>
      <c r="B177" s="80" t="s">
        <v>27</v>
      </c>
      <c r="C177" s="59">
        <v>4006000005447</v>
      </c>
      <c r="D177" s="60" t="s">
        <v>354</v>
      </c>
      <c r="E177" s="238" t="s">
        <v>356</v>
      </c>
      <c r="F177" s="61"/>
      <c r="G177" s="62">
        <v>25.99</v>
      </c>
    </row>
    <row r="178" spans="1:7" s="17" customFormat="1" ht="12" x14ac:dyDescent="0.2">
      <c r="A178" s="254"/>
      <c r="B178" s="80" t="s">
        <v>27</v>
      </c>
      <c r="C178" s="59">
        <v>4005900662019</v>
      </c>
      <c r="D178" s="60" t="s">
        <v>357</v>
      </c>
      <c r="E178" s="238" t="s">
        <v>358</v>
      </c>
      <c r="F178" s="61"/>
      <c r="G178" s="62">
        <v>26.99</v>
      </c>
    </row>
    <row r="179" spans="1:7" s="17" customFormat="1" ht="12" x14ac:dyDescent="0.2">
      <c r="A179" s="255"/>
      <c r="B179" s="80" t="s">
        <v>27</v>
      </c>
      <c r="C179" s="59">
        <v>4005900359261</v>
      </c>
      <c r="D179" s="60" t="s">
        <v>357</v>
      </c>
      <c r="E179" s="238" t="s">
        <v>359</v>
      </c>
      <c r="F179" s="61"/>
      <c r="G179" s="62">
        <v>26.99</v>
      </c>
    </row>
    <row r="180" spans="1:7" s="17" customFormat="1" ht="12" x14ac:dyDescent="0.25">
      <c r="A180" s="272" t="s">
        <v>61</v>
      </c>
      <c r="B180" s="73" t="s">
        <v>28</v>
      </c>
      <c r="C180" s="74">
        <v>7500435251068</v>
      </c>
      <c r="D180" s="79" t="s">
        <v>360</v>
      </c>
      <c r="E180" s="237" t="s">
        <v>361</v>
      </c>
      <c r="F180" s="61"/>
      <c r="G180" s="62">
        <v>34.99</v>
      </c>
    </row>
    <row r="181" spans="1:7" s="17" customFormat="1" ht="12" x14ac:dyDescent="0.25">
      <c r="A181" s="273"/>
      <c r="B181" s="73" t="s">
        <v>28</v>
      </c>
      <c r="C181" s="74">
        <v>7500435251075</v>
      </c>
      <c r="D181" s="79" t="s">
        <v>360</v>
      </c>
      <c r="E181" s="237" t="s">
        <v>362</v>
      </c>
      <c r="F181" s="61"/>
      <c r="G181" s="62">
        <v>34.99</v>
      </c>
    </row>
    <row r="182" spans="1:7" s="17" customFormat="1" ht="12" x14ac:dyDescent="0.25">
      <c r="A182" s="273"/>
      <c r="B182" s="73" t="s">
        <v>28</v>
      </c>
      <c r="C182" s="74">
        <v>7500435249515</v>
      </c>
      <c r="D182" s="79" t="s">
        <v>363</v>
      </c>
      <c r="E182" s="237" t="s">
        <v>364</v>
      </c>
      <c r="F182" s="61"/>
      <c r="G182" s="62">
        <v>24.99</v>
      </c>
    </row>
    <row r="183" spans="1:7" s="17" customFormat="1" ht="12" x14ac:dyDescent="0.25">
      <c r="A183" s="273"/>
      <c r="B183" s="73" t="s">
        <v>28</v>
      </c>
      <c r="C183" s="74">
        <v>7500435249508</v>
      </c>
      <c r="D183" s="79" t="s">
        <v>363</v>
      </c>
      <c r="E183" s="237" t="s">
        <v>365</v>
      </c>
      <c r="F183" s="61"/>
      <c r="G183" s="62">
        <v>24.99</v>
      </c>
    </row>
    <row r="184" spans="1:7" s="17" customFormat="1" ht="12" x14ac:dyDescent="0.25">
      <c r="A184" s="273"/>
      <c r="B184" s="73" t="s">
        <v>28</v>
      </c>
      <c r="C184" s="74">
        <v>7500435249485</v>
      </c>
      <c r="D184" s="79" t="s">
        <v>363</v>
      </c>
      <c r="E184" s="237" t="s">
        <v>366</v>
      </c>
      <c r="F184" s="61"/>
      <c r="G184" s="62">
        <v>24.99</v>
      </c>
    </row>
    <row r="185" spans="1:7" s="17" customFormat="1" ht="12" x14ac:dyDescent="0.25">
      <c r="A185" s="273"/>
      <c r="B185" s="73" t="s">
        <v>28</v>
      </c>
      <c r="C185" s="74">
        <v>7500435249492</v>
      </c>
      <c r="D185" s="79" t="s">
        <v>363</v>
      </c>
      <c r="E185" s="237" t="s">
        <v>359</v>
      </c>
      <c r="F185" s="61"/>
      <c r="G185" s="62">
        <v>24.99</v>
      </c>
    </row>
    <row r="186" spans="1:7" s="17" customFormat="1" ht="12" x14ac:dyDescent="0.25">
      <c r="A186" s="273"/>
      <c r="B186" s="73" t="s">
        <v>28</v>
      </c>
      <c r="C186" s="74">
        <v>7500435249478</v>
      </c>
      <c r="D186" s="79" t="s">
        <v>363</v>
      </c>
      <c r="E186" s="237" t="s">
        <v>367</v>
      </c>
      <c r="F186" s="61"/>
      <c r="G186" s="62">
        <v>24.99</v>
      </c>
    </row>
    <row r="187" spans="1:7" s="17" customFormat="1" ht="12" x14ac:dyDescent="0.25">
      <c r="A187" s="273"/>
      <c r="B187" s="73" t="s">
        <v>28</v>
      </c>
      <c r="C187" s="74">
        <v>7500435260268</v>
      </c>
      <c r="D187" s="79" t="s">
        <v>368</v>
      </c>
      <c r="E187" s="237" t="s">
        <v>369</v>
      </c>
      <c r="F187" s="61"/>
      <c r="G187" s="62">
        <v>26.99</v>
      </c>
    </row>
    <row r="188" spans="1:7" s="17" customFormat="1" ht="12" x14ac:dyDescent="0.25">
      <c r="A188" s="273"/>
      <c r="B188" s="73" t="s">
        <v>28</v>
      </c>
      <c r="C188" s="74">
        <v>7500435248167</v>
      </c>
      <c r="D188" s="79" t="s">
        <v>368</v>
      </c>
      <c r="E188" s="237" t="s">
        <v>370</v>
      </c>
      <c r="F188" s="61"/>
      <c r="G188" s="62">
        <v>26.99</v>
      </c>
    </row>
    <row r="189" spans="1:7" s="17" customFormat="1" ht="12" x14ac:dyDescent="0.25">
      <c r="A189" s="273"/>
      <c r="B189" s="73" t="s">
        <v>28</v>
      </c>
      <c r="C189" s="74">
        <v>7500435197007</v>
      </c>
      <c r="D189" s="79" t="s">
        <v>368</v>
      </c>
      <c r="E189" s="237" t="s">
        <v>333</v>
      </c>
      <c r="F189" s="61"/>
      <c r="G189" s="62">
        <v>26.99</v>
      </c>
    </row>
    <row r="190" spans="1:7" s="17" customFormat="1" ht="12" x14ac:dyDescent="0.25">
      <c r="A190" s="273"/>
      <c r="B190" s="73" t="s">
        <v>28</v>
      </c>
      <c r="C190" s="74">
        <v>7500435154277</v>
      </c>
      <c r="D190" s="79" t="s">
        <v>368</v>
      </c>
      <c r="E190" s="237" t="s">
        <v>371</v>
      </c>
      <c r="F190" s="61"/>
      <c r="G190" s="62">
        <v>26.99</v>
      </c>
    </row>
    <row r="191" spans="1:7" s="17" customFormat="1" ht="12" x14ac:dyDescent="0.25">
      <c r="A191" s="273"/>
      <c r="B191" s="73" t="s">
        <v>28</v>
      </c>
      <c r="C191" s="74">
        <v>7500435232807</v>
      </c>
      <c r="D191" s="79" t="s">
        <v>368</v>
      </c>
      <c r="E191" s="237" t="s">
        <v>310</v>
      </c>
      <c r="F191" s="61"/>
      <c r="G191" s="62">
        <v>26.99</v>
      </c>
    </row>
    <row r="192" spans="1:7" s="17" customFormat="1" ht="12" x14ac:dyDescent="0.25">
      <c r="A192" s="273"/>
      <c r="B192" s="73" t="s">
        <v>28</v>
      </c>
      <c r="C192" s="74">
        <v>7500435260251</v>
      </c>
      <c r="D192" s="79" t="s">
        <v>372</v>
      </c>
      <c r="E192" s="237" t="s">
        <v>369</v>
      </c>
      <c r="F192" s="61"/>
      <c r="G192" s="62">
        <v>24.99</v>
      </c>
    </row>
    <row r="193" spans="1:9" s="17" customFormat="1" ht="12" x14ac:dyDescent="0.25">
      <c r="A193" s="273"/>
      <c r="B193" s="73" t="s">
        <v>28</v>
      </c>
      <c r="C193" s="74">
        <v>7500435248143</v>
      </c>
      <c r="D193" s="79" t="s">
        <v>372</v>
      </c>
      <c r="E193" s="237" t="s">
        <v>370</v>
      </c>
      <c r="F193" s="61"/>
      <c r="G193" s="62">
        <v>24.99</v>
      </c>
    </row>
    <row r="194" spans="1:9" s="17" customFormat="1" ht="12" x14ac:dyDescent="0.25">
      <c r="A194" s="273"/>
      <c r="B194" s="73" t="s">
        <v>28</v>
      </c>
      <c r="C194" s="74">
        <v>7500435196987</v>
      </c>
      <c r="D194" s="79" t="s">
        <v>372</v>
      </c>
      <c r="E194" s="237" t="s">
        <v>333</v>
      </c>
      <c r="F194" s="61"/>
      <c r="G194" s="62">
        <v>24.99</v>
      </c>
    </row>
    <row r="195" spans="1:9" s="17" customFormat="1" ht="12" x14ac:dyDescent="0.25">
      <c r="A195" s="273"/>
      <c r="B195" s="73" t="s">
        <v>28</v>
      </c>
      <c r="C195" s="74">
        <v>7500435232814</v>
      </c>
      <c r="D195" s="79" t="s">
        <v>372</v>
      </c>
      <c r="E195" s="237" t="s">
        <v>310</v>
      </c>
      <c r="F195" s="61"/>
      <c r="G195" s="62">
        <v>24.99</v>
      </c>
    </row>
    <row r="196" spans="1:9" s="17" customFormat="1" ht="12" x14ac:dyDescent="0.25">
      <c r="A196" s="274"/>
      <c r="B196" s="73" t="s">
        <v>28</v>
      </c>
      <c r="C196" s="74">
        <v>7500435154239</v>
      </c>
      <c r="D196" s="79" t="s">
        <v>373</v>
      </c>
      <c r="E196" s="237" t="s">
        <v>371</v>
      </c>
      <c r="F196" s="61"/>
      <c r="G196" s="62">
        <v>24.99</v>
      </c>
    </row>
    <row r="197" spans="1:9" s="17" customFormat="1" ht="12" x14ac:dyDescent="0.2">
      <c r="A197" s="272" t="s">
        <v>61</v>
      </c>
      <c r="B197" s="73" t="s">
        <v>29</v>
      </c>
      <c r="C197" s="59">
        <v>7891150095786</v>
      </c>
      <c r="D197" s="79" t="s">
        <v>374</v>
      </c>
      <c r="E197" s="237" t="s">
        <v>375</v>
      </c>
      <c r="F197" s="61"/>
      <c r="G197" s="62">
        <v>25.99</v>
      </c>
    </row>
    <row r="198" spans="1:9" s="17" customFormat="1" ht="12" x14ac:dyDescent="0.2">
      <c r="A198" s="273"/>
      <c r="B198" s="73" t="s">
        <v>29</v>
      </c>
      <c r="C198" s="59">
        <v>7891150095816</v>
      </c>
      <c r="D198" s="79" t="s">
        <v>374</v>
      </c>
      <c r="E198" s="237" t="s">
        <v>376</v>
      </c>
      <c r="F198" s="61"/>
      <c r="G198" s="62">
        <v>25.99</v>
      </c>
    </row>
    <row r="199" spans="1:9" s="17" customFormat="1" ht="12" x14ac:dyDescent="0.25">
      <c r="A199" s="273"/>
      <c r="B199" s="73" t="s">
        <v>29</v>
      </c>
      <c r="C199" s="74">
        <v>7891150095847</v>
      </c>
      <c r="D199" s="79" t="s">
        <v>374</v>
      </c>
      <c r="E199" s="237" t="s">
        <v>377</v>
      </c>
      <c r="F199" s="61"/>
      <c r="G199" s="62">
        <v>25.99</v>
      </c>
    </row>
    <row r="200" spans="1:9" s="17" customFormat="1" ht="12" x14ac:dyDescent="0.2">
      <c r="A200" s="273"/>
      <c r="B200" s="73" t="s">
        <v>29</v>
      </c>
      <c r="C200" s="59">
        <v>7891150095861</v>
      </c>
      <c r="D200" s="79" t="s">
        <v>374</v>
      </c>
      <c r="E200" s="237" t="s">
        <v>378</v>
      </c>
      <c r="F200" s="61"/>
      <c r="G200" s="62">
        <v>25.99</v>
      </c>
    </row>
    <row r="201" spans="1:9" s="17" customFormat="1" ht="12" x14ac:dyDescent="0.2">
      <c r="A201" s="273"/>
      <c r="B201" s="73" t="s">
        <v>29</v>
      </c>
      <c r="C201" s="59">
        <v>7891150095854</v>
      </c>
      <c r="D201" s="79" t="s">
        <v>374</v>
      </c>
      <c r="E201" s="237" t="s">
        <v>379</v>
      </c>
      <c r="F201" s="61"/>
      <c r="G201" s="62">
        <v>25.99</v>
      </c>
    </row>
    <row r="202" spans="1:9" s="17" customFormat="1" ht="12" x14ac:dyDescent="0.2">
      <c r="A202" s="273"/>
      <c r="B202" s="73" t="s">
        <v>29</v>
      </c>
      <c r="C202" s="59">
        <v>7891150095830</v>
      </c>
      <c r="D202" s="79" t="s">
        <v>380</v>
      </c>
      <c r="E202" s="237" t="s">
        <v>375</v>
      </c>
      <c r="F202" s="61"/>
      <c r="G202" s="62">
        <v>42.99</v>
      </c>
    </row>
    <row r="203" spans="1:9" s="17" customFormat="1" ht="12" x14ac:dyDescent="0.2">
      <c r="A203" s="273"/>
      <c r="B203" s="73" t="s">
        <v>29</v>
      </c>
      <c r="C203" s="59">
        <v>7891150095809</v>
      </c>
      <c r="D203" s="79" t="s">
        <v>380</v>
      </c>
      <c r="E203" s="237" t="s">
        <v>376</v>
      </c>
      <c r="F203" s="61"/>
      <c r="G203" s="62">
        <v>42.99</v>
      </c>
      <c r="I203" s="22"/>
    </row>
    <row r="204" spans="1:9" s="17" customFormat="1" ht="12" x14ac:dyDescent="0.2">
      <c r="A204" s="273"/>
      <c r="B204" s="73" t="s">
        <v>29</v>
      </c>
      <c r="C204" s="59">
        <v>7891150095793</v>
      </c>
      <c r="D204" s="79" t="s">
        <v>380</v>
      </c>
      <c r="E204" s="237" t="s">
        <v>377</v>
      </c>
      <c r="F204" s="61"/>
      <c r="G204" s="62">
        <v>42.99</v>
      </c>
    </row>
    <row r="205" spans="1:9" s="17" customFormat="1" ht="12" x14ac:dyDescent="0.2">
      <c r="A205" s="273"/>
      <c r="B205" s="73" t="s">
        <v>29</v>
      </c>
      <c r="C205" s="59">
        <v>7891150095878</v>
      </c>
      <c r="D205" s="79" t="s">
        <v>380</v>
      </c>
      <c r="E205" s="237" t="s">
        <v>378</v>
      </c>
      <c r="F205" s="61"/>
      <c r="G205" s="62">
        <v>42.99</v>
      </c>
    </row>
    <row r="206" spans="1:9" s="17" customFormat="1" ht="12" x14ac:dyDescent="0.25">
      <c r="A206" s="274"/>
      <c r="B206" s="73" t="s">
        <v>29</v>
      </c>
      <c r="C206" s="77">
        <v>7891150095823</v>
      </c>
      <c r="D206" s="79" t="s">
        <v>380</v>
      </c>
      <c r="E206" s="237" t="s">
        <v>379</v>
      </c>
      <c r="F206" s="61"/>
      <c r="G206" s="62">
        <v>42.99</v>
      </c>
    </row>
    <row r="207" spans="1:9" s="17" customFormat="1" ht="12" x14ac:dyDescent="0.25">
      <c r="A207" s="272" t="s">
        <v>61</v>
      </c>
      <c r="B207" s="73" t="s">
        <v>29</v>
      </c>
      <c r="C207" s="124">
        <v>7891150104853</v>
      </c>
      <c r="D207" s="79" t="s">
        <v>381</v>
      </c>
      <c r="E207" s="237" t="s">
        <v>382</v>
      </c>
      <c r="F207" s="61"/>
      <c r="G207" s="62">
        <v>44.99</v>
      </c>
    </row>
    <row r="208" spans="1:9" s="17" customFormat="1" ht="12" x14ac:dyDescent="0.25">
      <c r="A208" s="273"/>
      <c r="B208" s="73" t="s">
        <v>29</v>
      </c>
      <c r="C208" s="124">
        <v>7891150104846</v>
      </c>
      <c r="D208" s="79" t="s">
        <v>381</v>
      </c>
      <c r="E208" s="237" t="s">
        <v>333</v>
      </c>
      <c r="F208" s="61"/>
      <c r="G208" s="62">
        <v>44.99</v>
      </c>
    </row>
    <row r="209" spans="1:7" s="17" customFormat="1" ht="12" x14ac:dyDescent="0.25">
      <c r="A209" s="274"/>
      <c r="B209" s="73" t="s">
        <v>29</v>
      </c>
      <c r="C209" s="124">
        <v>7891150104860</v>
      </c>
      <c r="D209" s="79" t="s">
        <v>381</v>
      </c>
      <c r="E209" s="237" t="s">
        <v>383</v>
      </c>
      <c r="F209" s="61"/>
      <c r="G209" s="62">
        <v>44.99</v>
      </c>
    </row>
    <row r="210" spans="1:7" s="17" customFormat="1" ht="12" x14ac:dyDescent="0.25">
      <c r="A210" s="272" t="s">
        <v>62</v>
      </c>
      <c r="B210" s="73" t="s">
        <v>29</v>
      </c>
      <c r="C210" s="124">
        <v>79400526335</v>
      </c>
      <c r="D210" s="79" t="s">
        <v>384</v>
      </c>
      <c r="E210" s="237" t="s">
        <v>385</v>
      </c>
      <c r="F210" s="61"/>
      <c r="G210" s="62">
        <v>27.99</v>
      </c>
    </row>
    <row r="211" spans="1:7" s="17" customFormat="1" ht="12" x14ac:dyDescent="0.25">
      <c r="A211" s="273"/>
      <c r="B211" s="73" t="s">
        <v>29</v>
      </c>
      <c r="C211" s="124">
        <v>79400526366</v>
      </c>
      <c r="D211" s="79" t="s">
        <v>384</v>
      </c>
      <c r="E211" s="237" t="s">
        <v>386</v>
      </c>
      <c r="F211" s="61"/>
      <c r="G211" s="62">
        <v>27.99</v>
      </c>
    </row>
    <row r="212" spans="1:7" s="17" customFormat="1" ht="12" x14ac:dyDescent="0.25">
      <c r="A212" s="273"/>
      <c r="B212" s="73" t="s">
        <v>29</v>
      </c>
      <c r="C212" s="124">
        <v>79400526342</v>
      </c>
      <c r="D212" s="79" t="s">
        <v>384</v>
      </c>
      <c r="E212" s="237" t="s">
        <v>387</v>
      </c>
      <c r="F212" s="61"/>
      <c r="G212" s="62">
        <v>27.99</v>
      </c>
    </row>
    <row r="213" spans="1:7" s="17" customFormat="1" ht="12" x14ac:dyDescent="0.25">
      <c r="A213" s="273"/>
      <c r="B213" s="73" t="s">
        <v>29</v>
      </c>
      <c r="C213" s="124">
        <v>79400526359</v>
      </c>
      <c r="D213" s="79" t="s">
        <v>384</v>
      </c>
      <c r="E213" s="237" t="s">
        <v>388</v>
      </c>
      <c r="F213" s="61"/>
      <c r="G213" s="62">
        <v>27.99</v>
      </c>
    </row>
    <row r="214" spans="1:7" s="17" customFormat="1" ht="12" x14ac:dyDescent="0.25">
      <c r="A214" s="274"/>
      <c r="B214" s="73" t="s">
        <v>29</v>
      </c>
      <c r="C214" s="124">
        <v>7891150081284</v>
      </c>
      <c r="D214" s="79" t="s">
        <v>389</v>
      </c>
      <c r="E214" s="237" t="s">
        <v>390</v>
      </c>
      <c r="F214" s="61"/>
      <c r="G214" s="62">
        <v>22.49</v>
      </c>
    </row>
    <row r="215" spans="1:7" s="17" customFormat="1" ht="12" x14ac:dyDescent="0.25">
      <c r="A215" s="272" t="s">
        <v>62</v>
      </c>
      <c r="B215" s="73" t="s">
        <v>29</v>
      </c>
      <c r="C215" s="124">
        <v>7891150081260</v>
      </c>
      <c r="D215" s="79" t="s">
        <v>389</v>
      </c>
      <c r="E215" s="237" t="s">
        <v>391</v>
      </c>
      <c r="F215" s="61"/>
      <c r="G215" s="62">
        <v>22.49</v>
      </c>
    </row>
    <row r="216" spans="1:7" s="17" customFormat="1" ht="12" x14ac:dyDescent="0.25">
      <c r="A216" s="273"/>
      <c r="B216" s="73" t="s">
        <v>29</v>
      </c>
      <c r="C216" s="124">
        <v>7891150081277</v>
      </c>
      <c r="D216" s="79" t="s">
        <v>389</v>
      </c>
      <c r="E216" s="237" t="s">
        <v>242</v>
      </c>
      <c r="F216" s="61"/>
      <c r="G216" s="62">
        <v>22.49</v>
      </c>
    </row>
    <row r="217" spans="1:7" s="17" customFormat="1" ht="12" x14ac:dyDescent="0.25">
      <c r="A217" s="273"/>
      <c r="B217" s="73" t="s">
        <v>29</v>
      </c>
      <c r="C217" s="124">
        <v>7891150081253</v>
      </c>
      <c r="D217" s="79" t="s">
        <v>389</v>
      </c>
      <c r="E217" s="237" t="s">
        <v>392</v>
      </c>
      <c r="F217" s="61"/>
      <c r="G217" s="62">
        <v>22.49</v>
      </c>
    </row>
    <row r="218" spans="1:7" s="17" customFormat="1" ht="12" x14ac:dyDescent="0.25">
      <c r="A218" s="273"/>
      <c r="B218" s="73" t="s">
        <v>29</v>
      </c>
      <c r="C218" s="124">
        <v>7891150081307</v>
      </c>
      <c r="D218" s="79" t="s">
        <v>393</v>
      </c>
      <c r="E218" s="237" t="s">
        <v>394</v>
      </c>
      <c r="F218" s="61"/>
      <c r="G218" s="62">
        <v>22.49</v>
      </c>
    </row>
    <row r="219" spans="1:7" s="17" customFormat="1" ht="12" x14ac:dyDescent="0.25">
      <c r="A219" s="273"/>
      <c r="B219" s="73" t="s">
        <v>29</v>
      </c>
      <c r="C219" s="124">
        <v>7891150081321</v>
      </c>
      <c r="D219" s="79" t="s">
        <v>393</v>
      </c>
      <c r="E219" s="237" t="s">
        <v>390</v>
      </c>
      <c r="F219" s="61"/>
      <c r="G219" s="62">
        <v>22.49</v>
      </c>
    </row>
    <row r="220" spans="1:7" s="17" customFormat="1" ht="12" x14ac:dyDescent="0.25">
      <c r="A220" s="273"/>
      <c r="B220" s="73" t="s">
        <v>29</v>
      </c>
      <c r="C220" s="124">
        <v>7891150081291</v>
      </c>
      <c r="D220" s="79" t="s">
        <v>393</v>
      </c>
      <c r="E220" s="237" t="s">
        <v>242</v>
      </c>
      <c r="F220" s="61"/>
      <c r="G220" s="62">
        <v>22.49</v>
      </c>
    </row>
    <row r="221" spans="1:7" s="17" customFormat="1" ht="12" x14ac:dyDescent="0.25">
      <c r="A221" s="274"/>
      <c r="B221" s="73" t="s">
        <v>29</v>
      </c>
      <c r="C221" s="124">
        <v>7891150081314</v>
      </c>
      <c r="D221" s="79" t="s">
        <v>393</v>
      </c>
      <c r="E221" s="237" t="s">
        <v>395</v>
      </c>
      <c r="F221" s="61"/>
      <c r="G221" s="62">
        <v>22.49</v>
      </c>
    </row>
    <row r="222" spans="1:7" s="17" customFormat="1" ht="12" x14ac:dyDescent="0.25">
      <c r="A222" s="272" t="s">
        <v>61</v>
      </c>
      <c r="B222" s="73" t="s">
        <v>29</v>
      </c>
      <c r="C222" s="124">
        <v>7891150083561</v>
      </c>
      <c r="D222" s="79" t="s">
        <v>396</v>
      </c>
      <c r="E222" s="237" t="s">
        <v>397</v>
      </c>
      <c r="F222" s="61"/>
      <c r="G222" s="62">
        <v>13.49</v>
      </c>
    </row>
    <row r="223" spans="1:7" s="17" customFormat="1" ht="12" x14ac:dyDescent="0.25">
      <c r="A223" s="273"/>
      <c r="B223" s="73" t="s">
        <v>29</v>
      </c>
      <c r="C223" s="124">
        <v>7891150083585</v>
      </c>
      <c r="D223" s="79" t="s">
        <v>396</v>
      </c>
      <c r="E223" s="237" t="s">
        <v>398</v>
      </c>
      <c r="F223" s="61"/>
      <c r="G223" s="62">
        <v>13.49</v>
      </c>
    </row>
    <row r="224" spans="1:7" s="17" customFormat="1" ht="12" x14ac:dyDescent="0.25">
      <c r="A224" s="273"/>
      <c r="B224" s="73" t="s">
        <v>29</v>
      </c>
      <c r="C224" s="124">
        <v>7891150083592</v>
      </c>
      <c r="D224" s="79" t="s">
        <v>396</v>
      </c>
      <c r="E224" s="237" t="s">
        <v>399</v>
      </c>
      <c r="F224" s="61"/>
      <c r="G224" s="62">
        <v>13.49</v>
      </c>
    </row>
    <row r="225" spans="1:7" s="17" customFormat="1" ht="12" x14ac:dyDescent="0.25">
      <c r="A225" s="273"/>
      <c r="B225" s="73" t="s">
        <v>29</v>
      </c>
      <c r="C225" s="124">
        <v>7891150103900</v>
      </c>
      <c r="D225" s="79" t="s">
        <v>400</v>
      </c>
      <c r="E225" s="237" t="s">
        <v>401</v>
      </c>
      <c r="F225" s="61"/>
      <c r="G225" s="62">
        <v>13.49</v>
      </c>
    </row>
    <row r="226" spans="1:7" s="17" customFormat="1" ht="12" x14ac:dyDescent="0.25">
      <c r="A226" s="273"/>
      <c r="B226" s="73" t="s">
        <v>29</v>
      </c>
      <c r="C226" s="124">
        <v>7891150099845</v>
      </c>
      <c r="D226" s="79" t="s">
        <v>400</v>
      </c>
      <c r="E226" s="237" t="s">
        <v>402</v>
      </c>
      <c r="F226" s="61"/>
      <c r="G226" s="62">
        <v>13.49</v>
      </c>
    </row>
    <row r="227" spans="1:7" s="17" customFormat="1" ht="12" x14ac:dyDescent="0.25">
      <c r="A227" s="273"/>
      <c r="B227" s="73" t="s">
        <v>29</v>
      </c>
      <c r="C227" s="124">
        <v>7891150101692</v>
      </c>
      <c r="D227" s="79" t="s">
        <v>400</v>
      </c>
      <c r="E227" s="237" t="s">
        <v>403</v>
      </c>
      <c r="F227" s="61"/>
      <c r="G227" s="62">
        <v>13.49</v>
      </c>
    </row>
    <row r="228" spans="1:7" s="17" customFormat="1" ht="12" x14ac:dyDescent="0.25">
      <c r="A228" s="273"/>
      <c r="B228" s="73" t="s">
        <v>29</v>
      </c>
      <c r="C228" s="124">
        <v>7891150101616</v>
      </c>
      <c r="D228" s="79" t="s">
        <v>400</v>
      </c>
      <c r="E228" s="237" t="s">
        <v>404</v>
      </c>
      <c r="F228" s="61"/>
      <c r="G228" s="62">
        <v>13.49</v>
      </c>
    </row>
    <row r="229" spans="1:7" s="17" customFormat="1" ht="12" x14ac:dyDescent="0.25">
      <c r="A229" s="273"/>
      <c r="B229" s="73" t="s">
        <v>29</v>
      </c>
      <c r="C229" s="124">
        <v>7891150037458</v>
      </c>
      <c r="D229" s="79" t="s">
        <v>405</v>
      </c>
      <c r="E229" s="237" t="s">
        <v>406</v>
      </c>
      <c r="F229" s="61"/>
      <c r="G229" s="62">
        <v>13.49</v>
      </c>
    </row>
    <row r="230" spans="1:7" s="17" customFormat="1" ht="12" x14ac:dyDescent="0.25">
      <c r="A230" s="273"/>
      <c r="B230" s="73" t="s">
        <v>29</v>
      </c>
      <c r="C230" s="124">
        <v>7891150037595</v>
      </c>
      <c r="D230" s="79" t="s">
        <v>405</v>
      </c>
      <c r="E230" s="237" t="s">
        <v>407</v>
      </c>
      <c r="F230" s="61"/>
      <c r="G230" s="62">
        <v>13.49</v>
      </c>
    </row>
    <row r="231" spans="1:7" s="17" customFormat="1" ht="12" x14ac:dyDescent="0.25">
      <c r="A231" s="273"/>
      <c r="B231" s="73" t="s">
        <v>29</v>
      </c>
      <c r="C231" s="124">
        <v>7891150037397</v>
      </c>
      <c r="D231" s="79" t="s">
        <v>405</v>
      </c>
      <c r="E231" s="237" t="s">
        <v>382</v>
      </c>
      <c r="F231" s="61"/>
      <c r="G231" s="62">
        <v>13.49</v>
      </c>
    </row>
    <row r="232" spans="1:7" s="17" customFormat="1" ht="12" x14ac:dyDescent="0.25">
      <c r="A232" s="273"/>
      <c r="B232" s="73" t="s">
        <v>29</v>
      </c>
      <c r="C232" s="124">
        <v>7891150037519</v>
      </c>
      <c r="D232" s="79" t="s">
        <v>405</v>
      </c>
      <c r="E232" s="237" t="s">
        <v>408</v>
      </c>
      <c r="F232" s="61"/>
      <c r="G232" s="62">
        <v>13.49</v>
      </c>
    </row>
    <row r="233" spans="1:7" s="17" customFormat="1" ht="12" x14ac:dyDescent="0.25">
      <c r="A233" s="273"/>
      <c r="B233" s="73" t="s">
        <v>29</v>
      </c>
      <c r="C233" s="124">
        <v>7891150037526</v>
      </c>
      <c r="D233" s="79" t="s">
        <v>405</v>
      </c>
      <c r="E233" s="237" t="s">
        <v>409</v>
      </c>
      <c r="F233" s="61"/>
      <c r="G233" s="62">
        <v>13.49</v>
      </c>
    </row>
    <row r="234" spans="1:7" s="17" customFormat="1" ht="12" x14ac:dyDescent="0.25">
      <c r="A234" s="273"/>
      <c r="B234" s="73" t="s">
        <v>29</v>
      </c>
      <c r="C234" s="124">
        <v>7891150037564</v>
      </c>
      <c r="D234" s="79" t="s">
        <v>405</v>
      </c>
      <c r="E234" s="237" t="s">
        <v>410</v>
      </c>
      <c r="F234" s="61"/>
      <c r="G234" s="62">
        <v>13.49</v>
      </c>
    </row>
    <row r="235" spans="1:7" s="17" customFormat="1" ht="12" x14ac:dyDescent="0.25">
      <c r="A235" s="273"/>
      <c r="B235" s="73" t="s">
        <v>29</v>
      </c>
      <c r="C235" s="124">
        <v>7891150101661</v>
      </c>
      <c r="D235" s="79" t="s">
        <v>411</v>
      </c>
      <c r="E235" s="237" t="s">
        <v>382</v>
      </c>
      <c r="F235" s="61"/>
      <c r="G235" s="62">
        <v>16.989999999999998</v>
      </c>
    </row>
    <row r="236" spans="1:7" s="17" customFormat="1" ht="12" x14ac:dyDescent="0.25">
      <c r="A236" s="273"/>
      <c r="B236" s="73" t="s">
        <v>29</v>
      </c>
      <c r="C236" s="124">
        <v>7891150103931</v>
      </c>
      <c r="D236" s="79" t="s">
        <v>411</v>
      </c>
      <c r="E236" s="237" t="s">
        <v>401</v>
      </c>
      <c r="F236" s="61"/>
      <c r="G236" s="62">
        <v>16.989999999999998</v>
      </c>
    </row>
    <row r="237" spans="1:7" s="17" customFormat="1" ht="12" x14ac:dyDescent="0.25">
      <c r="A237" s="273"/>
      <c r="B237" s="73" t="s">
        <v>29</v>
      </c>
      <c r="C237" s="124">
        <v>7891150101678</v>
      </c>
      <c r="D237" s="79" t="s">
        <v>411</v>
      </c>
      <c r="E237" s="237" t="s">
        <v>407</v>
      </c>
      <c r="F237" s="61"/>
      <c r="G237" s="62">
        <v>16.989999999999998</v>
      </c>
    </row>
    <row r="238" spans="1:7" s="17" customFormat="1" ht="12" x14ac:dyDescent="0.25">
      <c r="A238" s="273"/>
      <c r="B238" s="73" t="s">
        <v>29</v>
      </c>
      <c r="C238" s="124">
        <v>7891150091474</v>
      </c>
      <c r="D238" s="79" t="s">
        <v>411</v>
      </c>
      <c r="E238" s="237" t="s">
        <v>412</v>
      </c>
      <c r="F238" s="61"/>
      <c r="G238" s="62">
        <v>16.989999999999998</v>
      </c>
    </row>
    <row r="239" spans="1:7" s="17" customFormat="1" ht="12" x14ac:dyDescent="0.25">
      <c r="A239" s="273"/>
      <c r="B239" s="73" t="s">
        <v>29</v>
      </c>
      <c r="C239" s="124">
        <v>7891150101685</v>
      </c>
      <c r="D239" s="79" t="s">
        <v>411</v>
      </c>
      <c r="E239" s="237" t="s">
        <v>408</v>
      </c>
      <c r="F239" s="61"/>
      <c r="G239" s="62">
        <v>16.989999999999998</v>
      </c>
    </row>
    <row r="240" spans="1:7" s="17" customFormat="1" ht="12" x14ac:dyDescent="0.25">
      <c r="A240" s="273"/>
      <c r="B240" s="73" t="s">
        <v>29</v>
      </c>
      <c r="C240" s="124">
        <v>7891150080119</v>
      </c>
      <c r="D240" s="79" t="s">
        <v>411</v>
      </c>
      <c r="E240" s="237" t="s">
        <v>403</v>
      </c>
      <c r="F240" s="61"/>
      <c r="G240" s="62">
        <v>16.989999999999998</v>
      </c>
    </row>
    <row r="241" spans="1:7" s="17" customFormat="1" ht="12" x14ac:dyDescent="0.25">
      <c r="A241" s="273"/>
      <c r="B241" s="73" t="s">
        <v>29</v>
      </c>
      <c r="C241" s="124">
        <v>7891150101579</v>
      </c>
      <c r="D241" s="79" t="s">
        <v>411</v>
      </c>
      <c r="E241" s="237" t="s">
        <v>404</v>
      </c>
      <c r="F241" s="61"/>
      <c r="G241" s="62">
        <v>16.989999999999998</v>
      </c>
    </row>
    <row r="242" spans="1:7" s="17" customFormat="1" ht="12" x14ac:dyDescent="0.25">
      <c r="A242" s="273"/>
      <c r="B242" s="73" t="s">
        <v>29</v>
      </c>
      <c r="C242" s="124">
        <v>7891150099883</v>
      </c>
      <c r="D242" s="79" t="s">
        <v>411</v>
      </c>
      <c r="E242" s="237" t="s">
        <v>402</v>
      </c>
      <c r="F242" s="61"/>
      <c r="G242" s="62">
        <v>16.989999999999998</v>
      </c>
    </row>
    <row r="243" spans="1:7" s="17" customFormat="1" ht="12" x14ac:dyDescent="0.25">
      <c r="A243" s="273"/>
      <c r="B243" s="73" t="s">
        <v>29</v>
      </c>
      <c r="C243" s="124">
        <v>7891150106734</v>
      </c>
      <c r="D243" s="79" t="s">
        <v>413</v>
      </c>
      <c r="E243" s="237" t="s">
        <v>407</v>
      </c>
      <c r="F243" s="61"/>
      <c r="G243" s="62">
        <v>35.99</v>
      </c>
    </row>
    <row r="244" spans="1:7" s="17" customFormat="1" ht="12" x14ac:dyDescent="0.25">
      <c r="A244" s="273"/>
      <c r="B244" s="73" t="s">
        <v>29</v>
      </c>
      <c r="C244" s="124">
        <v>7891150106710</v>
      </c>
      <c r="D244" s="79" t="s">
        <v>413</v>
      </c>
      <c r="E244" s="237" t="s">
        <v>414</v>
      </c>
      <c r="F244" s="61"/>
      <c r="G244" s="62">
        <v>35.99</v>
      </c>
    </row>
    <row r="245" spans="1:7" s="17" customFormat="1" ht="12" x14ac:dyDescent="0.25">
      <c r="A245" s="273"/>
      <c r="B245" s="73" t="s">
        <v>29</v>
      </c>
      <c r="C245" s="124">
        <v>7891150106727</v>
      </c>
      <c r="D245" s="79" t="s">
        <v>413</v>
      </c>
      <c r="E245" s="237" t="s">
        <v>415</v>
      </c>
      <c r="F245" s="61"/>
      <c r="G245" s="62">
        <v>35.99</v>
      </c>
    </row>
    <row r="246" spans="1:7" s="17" customFormat="1" ht="12" x14ac:dyDescent="0.25">
      <c r="A246" s="274"/>
      <c r="B246" s="73" t="s">
        <v>29</v>
      </c>
      <c r="C246" s="124">
        <v>7891150107694</v>
      </c>
      <c r="D246" s="79" t="s">
        <v>413</v>
      </c>
      <c r="E246" s="237" t="s">
        <v>403</v>
      </c>
      <c r="F246" s="61"/>
      <c r="G246" s="62">
        <v>35.99</v>
      </c>
    </row>
    <row r="247" spans="1:7" s="17" customFormat="1" ht="12" x14ac:dyDescent="0.25">
      <c r="A247" s="80" t="s">
        <v>62</v>
      </c>
      <c r="B247" s="73" t="s">
        <v>63</v>
      </c>
      <c r="C247" s="81">
        <v>7896010177442</v>
      </c>
      <c r="D247" s="75" t="s">
        <v>64</v>
      </c>
      <c r="E247" s="242"/>
      <c r="F247" s="61"/>
      <c r="G247" s="76">
        <v>54.99</v>
      </c>
    </row>
    <row r="248" spans="1:7" s="17" customFormat="1" ht="12" x14ac:dyDescent="0.2">
      <c r="A248" s="253" t="s">
        <v>61</v>
      </c>
      <c r="B248" s="80" t="s">
        <v>129</v>
      </c>
      <c r="C248" s="126">
        <v>7896049528284</v>
      </c>
      <c r="D248" s="127" t="s">
        <v>416</v>
      </c>
      <c r="E248" s="243" t="s">
        <v>417</v>
      </c>
      <c r="F248" s="61"/>
      <c r="G248" s="76">
        <v>8.99</v>
      </c>
    </row>
    <row r="249" spans="1:7" s="17" customFormat="1" ht="12" x14ac:dyDescent="0.2">
      <c r="A249" s="254"/>
      <c r="B249" s="80" t="s">
        <v>129</v>
      </c>
      <c r="C249" s="126">
        <v>7896049528277</v>
      </c>
      <c r="D249" s="127" t="s">
        <v>416</v>
      </c>
      <c r="E249" s="243" t="s">
        <v>418</v>
      </c>
      <c r="F249" s="61"/>
      <c r="G249" s="76">
        <v>8.99</v>
      </c>
    </row>
    <row r="250" spans="1:7" s="17" customFormat="1" ht="12" x14ac:dyDescent="0.2">
      <c r="A250" s="254"/>
      <c r="B250" s="80" t="s">
        <v>129</v>
      </c>
      <c r="C250" s="126">
        <v>7896049528291</v>
      </c>
      <c r="D250" s="127" t="s">
        <v>416</v>
      </c>
      <c r="E250" s="243" t="s">
        <v>419</v>
      </c>
      <c r="F250" s="61"/>
      <c r="G250" s="76">
        <v>8.99</v>
      </c>
    </row>
    <row r="251" spans="1:7" s="17" customFormat="1" ht="12" x14ac:dyDescent="0.2">
      <c r="A251" s="254"/>
      <c r="B251" s="80" t="s">
        <v>129</v>
      </c>
      <c r="C251" s="126">
        <v>7896049528307</v>
      </c>
      <c r="D251" s="127" t="s">
        <v>416</v>
      </c>
      <c r="E251" s="243" t="s">
        <v>420</v>
      </c>
      <c r="F251" s="61"/>
      <c r="G251" s="76">
        <v>8.99</v>
      </c>
    </row>
    <row r="252" spans="1:7" s="17" customFormat="1" ht="12" x14ac:dyDescent="0.2">
      <c r="A252" s="254"/>
      <c r="B252" s="80" t="s">
        <v>129</v>
      </c>
      <c r="C252" s="126">
        <v>7896049527799</v>
      </c>
      <c r="D252" s="127" t="s">
        <v>421</v>
      </c>
      <c r="E252" s="243" t="s">
        <v>422</v>
      </c>
      <c r="F252" s="61"/>
      <c r="G252" s="76">
        <v>8.99</v>
      </c>
    </row>
    <row r="253" spans="1:7" s="17" customFormat="1" ht="12" x14ac:dyDescent="0.2">
      <c r="A253" s="254"/>
      <c r="B253" s="80" t="s">
        <v>129</v>
      </c>
      <c r="C253" s="126">
        <v>7896049527768</v>
      </c>
      <c r="D253" s="127" t="s">
        <v>421</v>
      </c>
      <c r="E253" s="243" t="s">
        <v>423</v>
      </c>
      <c r="F253" s="61"/>
      <c r="G253" s="76">
        <v>8.99</v>
      </c>
    </row>
    <row r="254" spans="1:7" s="17" customFormat="1" ht="12" x14ac:dyDescent="0.2">
      <c r="A254" s="254"/>
      <c r="B254" s="80" t="s">
        <v>129</v>
      </c>
      <c r="C254" s="126">
        <v>7896049527782</v>
      </c>
      <c r="D254" s="127" t="s">
        <v>421</v>
      </c>
      <c r="E254" s="243" t="s">
        <v>424</v>
      </c>
      <c r="F254" s="61"/>
      <c r="G254" s="76">
        <v>8.99</v>
      </c>
    </row>
    <row r="255" spans="1:7" s="17" customFormat="1" ht="12" x14ac:dyDescent="0.2">
      <c r="A255" s="254"/>
      <c r="B255" s="80" t="s">
        <v>129</v>
      </c>
      <c r="C255" s="126">
        <v>7896049527805</v>
      </c>
      <c r="D255" s="127" t="s">
        <v>421</v>
      </c>
      <c r="E255" s="243" t="s">
        <v>425</v>
      </c>
      <c r="F255" s="61"/>
      <c r="G255" s="76">
        <v>8.99</v>
      </c>
    </row>
    <row r="256" spans="1:7" s="17" customFormat="1" ht="12" x14ac:dyDescent="0.2">
      <c r="A256" s="254"/>
      <c r="B256" s="80" t="s">
        <v>129</v>
      </c>
      <c r="C256" s="83">
        <v>7896049509955</v>
      </c>
      <c r="D256" s="127" t="s">
        <v>426</v>
      </c>
      <c r="E256" s="243" t="s">
        <v>427</v>
      </c>
      <c r="F256" s="61"/>
      <c r="G256" s="76">
        <v>14.99</v>
      </c>
    </row>
    <row r="257" spans="1:7" s="17" customFormat="1" ht="12" x14ac:dyDescent="0.2">
      <c r="A257" s="254"/>
      <c r="B257" s="80" t="s">
        <v>129</v>
      </c>
      <c r="C257" s="83">
        <v>7896049509948</v>
      </c>
      <c r="D257" s="127" t="s">
        <v>426</v>
      </c>
      <c r="E257" s="243" t="s">
        <v>428</v>
      </c>
      <c r="F257" s="61"/>
      <c r="G257" s="76">
        <v>14.99</v>
      </c>
    </row>
    <row r="258" spans="1:7" s="17" customFormat="1" ht="12" x14ac:dyDescent="0.2">
      <c r="A258" s="254"/>
      <c r="B258" s="80" t="s">
        <v>129</v>
      </c>
      <c r="C258" s="83">
        <v>7896049509931</v>
      </c>
      <c r="D258" s="127" t="s">
        <v>426</v>
      </c>
      <c r="E258" s="243" t="s">
        <v>429</v>
      </c>
      <c r="F258" s="61"/>
      <c r="G258" s="76">
        <v>14.99</v>
      </c>
    </row>
    <row r="259" spans="1:7" s="17" customFormat="1" ht="12" x14ac:dyDescent="0.2">
      <c r="A259" s="254"/>
      <c r="B259" s="80" t="s">
        <v>129</v>
      </c>
      <c r="C259" s="83">
        <v>7896049509924</v>
      </c>
      <c r="D259" s="127" t="s">
        <v>426</v>
      </c>
      <c r="E259" s="243" t="s">
        <v>430</v>
      </c>
      <c r="F259" s="61"/>
      <c r="G259" s="76">
        <v>14.99</v>
      </c>
    </row>
    <row r="260" spans="1:7" s="17" customFormat="1" ht="12" x14ac:dyDescent="0.2">
      <c r="A260" s="254"/>
      <c r="B260" s="80" t="s">
        <v>129</v>
      </c>
      <c r="C260" s="128">
        <v>7896049528604</v>
      </c>
      <c r="D260" s="127" t="s">
        <v>431</v>
      </c>
      <c r="E260" s="243" t="s">
        <v>248</v>
      </c>
      <c r="F260" s="61"/>
      <c r="G260" s="76">
        <v>7.99</v>
      </c>
    </row>
    <row r="261" spans="1:7" s="17" customFormat="1" ht="12" x14ac:dyDescent="0.2">
      <c r="A261" s="254"/>
      <c r="B261" s="80" t="s">
        <v>129</v>
      </c>
      <c r="C261" s="96">
        <v>7896049525726</v>
      </c>
      <c r="D261" s="127" t="s">
        <v>431</v>
      </c>
      <c r="E261" s="243" t="s">
        <v>276</v>
      </c>
      <c r="F261" s="61"/>
      <c r="G261" s="76">
        <v>7.99</v>
      </c>
    </row>
    <row r="262" spans="1:7" s="17" customFormat="1" ht="12" x14ac:dyDescent="0.2">
      <c r="A262" s="254"/>
      <c r="B262" s="80" t="s">
        <v>129</v>
      </c>
      <c r="C262" s="128">
        <v>7896049528734</v>
      </c>
      <c r="D262" s="127" t="s">
        <v>431</v>
      </c>
      <c r="E262" s="243" t="s">
        <v>432</v>
      </c>
      <c r="F262" s="61"/>
      <c r="G262" s="76">
        <v>7.99</v>
      </c>
    </row>
    <row r="263" spans="1:7" s="17" customFormat="1" ht="12" x14ac:dyDescent="0.2">
      <c r="A263" s="254"/>
      <c r="B263" s="80" t="s">
        <v>129</v>
      </c>
      <c r="C263" s="96">
        <v>7896049528529</v>
      </c>
      <c r="D263" s="127" t="s">
        <v>431</v>
      </c>
      <c r="E263" s="243" t="s">
        <v>433</v>
      </c>
      <c r="F263" s="61"/>
      <c r="G263" s="76">
        <v>7.99</v>
      </c>
    </row>
    <row r="264" spans="1:7" s="17" customFormat="1" ht="12" x14ac:dyDescent="0.2">
      <c r="A264" s="254"/>
      <c r="B264" s="80" t="s">
        <v>129</v>
      </c>
      <c r="C264" s="128">
        <v>7896049528505</v>
      </c>
      <c r="D264" s="127" t="s">
        <v>431</v>
      </c>
      <c r="E264" s="243" t="s">
        <v>434</v>
      </c>
      <c r="F264" s="61"/>
      <c r="G264" s="76">
        <v>7.99</v>
      </c>
    </row>
    <row r="265" spans="1:7" s="17" customFormat="1" ht="12" x14ac:dyDescent="0.2">
      <c r="A265" s="254"/>
      <c r="B265" s="80" t="s">
        <v>129</v>
      </c>
      <c r="C265" s="128">
        <v>7896049528567</v>
      </c>
      <c r="D265" s="127" t="s">
        <v>431</v>
      </c>
      <c r="E265" s="243" t="s">
        <v>435</v>
      </c>
      <c r="F265" s="61"/>
      <c r="G265" s="76">
        <v>7.99</v>
      </c>
    </row>
    <row r="266" spans="1:7" s="17" customFormat="1" ht="12" x14ac:dyDescent="0.2">
      <c r="A266" s="254"/>
      <c r="B266" s="80" t="s">
        <v>129</v>
      </c>
      <c r="C266" s="128">
        <v>7896049528512</v>
      </c>
      <c r="D266" s="127" t="s">
        <v>431</v>
      </c>
      <c r="E266" s="243" t="s">
        <v>320</v>
      </c>
      <c r="F266" s="61"/>
      <c r="G266" s="76">
        <v>7.99</v>
      </c>
    </row>
    <row r="267" spans="1:7" s="17" customFormat="1" ht="12" x14ac:dyDescent="0.2">
      <c r="A267" s="255"/>
      <c r="B267" s="80" t="s">
        <v>129</v>
      </c>
      <c r="C267" s="128">
        <v>7896049528574</v>
      </c>
      <c r="D267" s="127" t="s">
        <v>431</v>
      </c>
      <c r="E267" s="243" t="s">
        <v>436</v>
      </c>
      <c r="F267" s="61"/>
      <c r="G267" s="76">
        <v>7.99</v>
      </c>
    </row>
    <row r="268" spans="1:7" s="17" customFormat="1" ht="12" x14ac:dyDescent="0.25">
      <c r="A268" s="253" t="s">
        <v>69</v>
      </c>
      <c r="B268" s="73" t="s">
        <v>130</v>
      </c>
      <c r="C268" s="74">
        <v>7898711090051</v>
      </c>
      <c r="D268" s="75" t="s">
        <v>131</v>
      </c>
      <c r="E268" s="242"/>
      <c r="F268" s="61"/>
      <c r="G268" s="76">
        <v>69.989999999999995</v>
      </c>
    </row>
    <row r="269" spans="1:7" s="17" customFormat="1" ht="12" x14ac:dyDescent="0.25">
      <c r="A269" s="255"/>
      <c r="B269" s="73" t="s">
        <v>130</v>
      </c>
      <c r="C269" s="74">
        <v>7898711090013</v>
      </c>
      <c r="D269" s="75" t="s">
        <v>132</v>
      </c>
      <c r="E269" s="242"/>
      <c r="F269" s="61"/>
      <c r="G269" s="76">
        <v>34.99</v>
      </c>
    </row>
    <row r="270" spans="1:7" s="17" customFormat="1" ht="12" x14ac:dyDescent="0.2">
      <c r="A270" s="253" t="s">
        <v>69</v>
      </c>
      <c r="B270" s="80" t="s">
        <v>138</v>
      </c>
      <c r="C270" s="59">
        <v>7896000673886</v>
      </c>
      <c r="D270" s="60" t="s">
        <v>134</v>
      </c>
      <c r="E270" s="238"/>
      <c r="F270" s="61"/>
      <c r="G270" s="76">
        <v>46.99</v>
      </c>
    </row>
    <row r="271" spans="1:7" s="17" customFormat="1" ht="12" x14ac:dyDescent="0.2">
      <c r="A271" s="254"/>
      <c r="B271" s="80" t="s">
        <v>138</v>
      </c>
      <c r="C271" s="59">
        <v>7896000661869</v>
      </c>
      <c r="D271" s="60" t="s">
        <v>437</v>
      </c>
      <c r="E271" s="238" t="s">
        <v>244</v>
      </c>
      <c r="F271" s="61"/>
      <c r="G271" s="76">
        <v>35.99</v>
      </c>
    </row>
    <row r="272" spans="1:7" s="17" customFormat="1" ht="12" x14ac:dyDescent="0.2">
      <c r="A272" s="254"/>
      <c r="B272" s="80" t="s">
        <v>138</v>
      </c>
      <c r="C272" s="59">
        <v>7896000661876</v>
      </c>
      <c r="D272" s="60" t="s">
        <v>437</v>
      </c>
      <c r="E272" s="238" t="s">
        <v>438</v>
      </c>
      <c r="F272" s="61"/>
      <c r="G272" s="76">
        <v>35.99</v>
      </c>
    </row>
    <row r="273" spans="1:8" s="17" customFormat="1" ht="12" x14ac:dyDescent="0.2">
      <c r="A273" s="254"/>
      <c r="B273" s="80" t="s">
        <v>138</v>
      </c>
      <c r="C273" s="59">
        <v>7896000674579</v>
      </c>
      <c r="D273" s="60" t="s">
        <v>439</v>
      </c>
      <c r="E273" s="238" t="s">
        <v>244</v>
      </c>
      <c r="F273" s="61"/>
      <c r="G273" s="76">
        <v>24.99</v>
      </c>
    </row>
    <row r="274" spans="1:8" s="17" customFormat="1" ht="12" x14ac:dyDescent="0.2">
      <c r="A274" s="254"/>
      <c r="B274" s="80" t="s">
        <v>138</v>
      </c>
      <c r="C274" s="59">
        <v>7896000674586</v>
      </c>
      <c r="D274" s="60" t="s">
        <v>439</v>
      </c>
      <c r="E274" s="238" t="s">
        <v>438</v>
      </c>
      <c r="F274" s="61"/>
      <c r="G274" s="76">
        <v>24.99</v>
      </c>
    </row>
    <row r="275" spans="1:8" s="17" customFormat="1" ht="12" x14ac:dyDescent="0.2">
      <c r="A275" s="254"/>
      <c r="B275" s="80" t="s">
        <v>138</v>
      </c>
      <c r="C275" s="59">
        <v>7896000661418</v>
      </c>
      <c r="D275" s="60" t="s">
        <v>440</v>
      </c>
      <c r="E275" s="238" t="s">
        <v>244</v>
      </c>
      <c r="F275" s="61"/>
      <c r="G275" s="76">
        <v>26.99</v>
      </c>
    </row>
    <row r="276" spans="1:8" s="17" customFormat="1" ht="12" x14ac:dyDescent="0.2">
      <c r="A276" s="254"/>
      <c r="B276" s="80" t="s">
        <v>138</v>
      </c>
      <c r="C276" s="59">
        <v>7896000661425</v>
      </c>
      <c r="D276" s="60" t="s">
        <v>440</v>
      </c>
      <c r="E276" s="238" t="s">
        <v>438</v>
      </c>
      <c r="F276" s="61"/>
      <c r="G276" s="76">
        <v>26.99</v>
      </c>
    </row>
    <row r="277" spans="1:8" s="17" customFormat="1" ht="12" x14ac:dyDescent="0.2">
      <c r="A277" s="254"/>
      <c r="B277" s="80" t="s">
        <v>138</v>
      </c>
      <c r="C277" s="59">
        <v>7896000660169</v>
      </c>
      <c r="D277" s="60" t="s">
        <v>441</v>
      </c>
      <c r="E277" s="238" t="s">
        <v>244</v>
      </c>
      <c r="F277" s="61"/>
      <c r="G277" s="76">
        <v>49.99</v>
      </c>
    </row>
    <row r="278" spans="1:8" s="17" customFormat="1" ht="12" x14ac:dyDescent="0.2">
      <c r="A278" s="254"/>
      <c r="B278" s="80" t="s">
        <v>138</v>
      </c>
      <c r="C278" s="59">
        <v>7896000660176</v>
      </c>
      <c r="D278" s="60" t="s">
        <v>441</v>
      </c>
      <c r="E278" s="238" t="s">
        <v>438</v>
      </c>
      <c r="F278" s="61"/>
      <c r="G278" s="76">
        <v>49.99</v>
      </c>
    </row>
    <row r="279" spans="1:8" s="17" customFormat="1" ht="12" x14ac:dyDescent="0.2">
      <c r="A279" s="254"/>
      <c r="B279" s="80" t="s">
        <v>138</v>
      </c>
      <c r="C279" s="59">
        <v>7896000672704</v>
      </c>
      <c r="D279" s="60" t="s">
        <v>135</v>
      </c>
      <c r="E279" s="238"/>
      <c r="F279" s="61"/>
      <c r="G279" s="76">
        <v>26.99</v>
      </c>
    </row>
    <row r="280" spans="1:8" s="17" customFormat="1" ht="12" x14ac:dyDescent="0.2">
      <c r="A280" s="254"/>
      <c r="B280" s="80" t="s">
        <v>138</v>
      </c>
      <c r="C280" s="59">
        <v>7896000672650</v>
      </c>
      <c r="D280" s="60" t="s">
        <v>136</v>
      </c>
      <c r="E280" s="238"/>
      <c r="F280" s="61"/>
      <c r="G280" s="76">
        <v>24.99</v>
      </c>
    </row>
    <row r="281" spans="1:8" s="17" customFormat="1" ht="12" x14ac:dyDescent="0.2">
      <c r="A281" s="255"/>
      <c r="B281" s="80" t="s">
        <v>138</v>
      </c>
      <c r="C281" s="59">
        <v>7896000671714</v>
      </c>
      <c r="D281" s="60" t="s">
        <v>137</v>
      </c>
      <c r="E281" s="238"/>
      <c r="F281" s="61"/>
      <c r="G281" s="76">
        <v>32.99</v>
      </c>
    </row>
    <row r="282" spans="1:8" s="17" customFormat="1" ht="12" x14ac:dyDescent="0.2">
      <c r="A282" s="253" t="s">
        <v>61</v>
      </c>
      <c r="B282" s="73" t="s">
        <v>26</v>
      </c>
      <c r="C282" s="59">
        <v>7896104992753</v>
      </c>
      <c r="D282" s="90" t="s">
        <v>143</v>
      </c>
      <c r="E282" s="244"/>
      <c r="F282" s="61"/>
      <c r="G282" s="76">
        <v>20.99</v>
      </c>
    </row>
    <row r="283" spans="1:8" s="17" customFormat="1" ht="12" x14ac:dyDescent="0.2">
      <c r="A283" s="254"/>
      <c r="B283" s="73" t="s">
        <v>26</v>
      </c>
      <c r="C283" s="59">
        <v>7896104991565</v>
      </c>
      <c r="D283" s="90" t="s">
        <v>144</v>
      </c>
      <c r="E283" s="244"/>
      <c r="F283" s="61"/>
      <c r="G283" s="76">
        <v>14.99</v>
      </c>
    </row>
    <row r="284" spans="1:8" s="17" customFormat="1" ht="12" x14ac:dyDescent="0.2">
      <c r="A284" s="254"/>
      <c r="B284" s="73" t="s">
        <v>26</v>
      </c>
      <c r="C284" s="59">
        <v>7896104991435</v>
      </c>
      <c r="D284" s="91" t="s">
        <v>145</v>
      </c>
      <c r="E284" s="245"/>
      <c r="F284" s="61"/>
      <c r="G284" s="76">
        <v>20.99</v>
      </c>
    </row>
    <row r="285" spans="1:8" s="17" customFormat="1" ht="12" x14ac:dyDescent="0.2">
      <c r="A285" s="254"/>
      <c r="B285" s="73" t="s">
        <v>26</v>
      </c>
      <c r="C285" s="92">
        <v>7896104992166</v>
      </c>
      <c r="D285" s="93" t="s">
        <v>146</v>
      </c>
      <c r="E285" s="246"/>
      <c r="F285" s="61"/>
      <c r="G285" s="76">
        <v>74.989999999999995</v>
      </c>
      <c r="H285" s="52">
        <f>G285/80</f>
        <v>0.93737499999999996</v>
      </c>
    </row>
    <row r="286" spans="1:8" s="17" customFormat="1" ht="12" x14ac:dyDescent="0.2">
      <c r="A286" s="254"/>
      <c r="B286" s="73" t="s">
        <v>26</v>
      </c>
      <c r="C286" s="92">
        <v>7896104992159</v>
      </c>
      <c r="D286" s="93" t="s">
        <v>147</v>
      </c>
      <c r="E286" s="246"/>
      <c r="F286" s="61"/>
      <c r="G286" s="76">
        <v>74.989999999999995</v>
      </c>
      <c r="H286" s="52">
        <f>G286/72</f>
        <v>1.0415277777777776</v>
      </c>
    </row>
    <row r="287" spans="1:8" s="17" customFormat="1" ht="12" x14ac:dyDescent="0.2">
      <c r="A287" s="254"/>
      <c r="B287" s="73" t="s">
        <v>26</v>
      </c>
      <c r="C287" s="92">
        <v>7896104992142</v>
      </c>
      <c r="D287" s="93" t="s">
        <v>148</v>
      </c>
      <c r="E287" s="246"/>
      <c r="F287" s="61"/>
      <c r="G287" s="76">
        <v>74.989999999999995</v>
      </c>
      <c r="H287" s="52">
        <f>G287/62</f>
        <v>1.209516129032258</v>
      </c>
    </row>
    <row r="288" spans="1:8" s="17" customFormat="1" ht="12" x14ac:dyDescent="0.2">
      <c r="A288" s="255"/>
      <c r="B288" s="73" t="s">
        <v>26</v>
      </c>
      <c r="C288" s="92">
        <v>7896104992135</v>
      </c>
      <c r="D288" s="93" t="s">
        <v>149</v>
      </c>
      <c r="E288" s="246"/>
      <c r="F288" s="61"/>
      <c r="G288" s="76">
        <v>74.989999999999995</v>
      </c>
      <c r="H288" s="52">
        <f>G288/52</f>
        <v>1.4421153846153845</v>
      </c>
    </row>
    <row r="289" spans="1:8" s="17" customFormat="1" ht="12" x14ac:dyDescent="0.25">
      <c r="A289" s="253" t="s">
        <v>61</v>
      </c>
      <c r="B289" s="80" t="s">
        <v>157</v>
      </c>
      <c r="C289" s="74">
        <v>7896914012184</v>
      </c>
      <c r="D289" s="75" t="s">
        <v>158</v>
      </c>
      <c r="E289" s="242"/>
      <c r="F289" s="61"/>
      <c r="G289" s="76">
        <v>69.989999999999995</v>
      </c>
      <c r="H289" s="53">
        <f>G289/72</f>
        <v>0.9720833333333333</v>
      </c>
    </row>
    <row r="290" spans="1:8" s="17" customFormat="1" ht="12" x14ac:dyDescent="0.25">
      <c r="A290" s="254"/>
      <c r="B290" s="80" t="s">
        <v>157</v>
      </c>
      <c r="C290" s="74">
        <v>7896061996603</v>
      </c>
      <c r="D290" s="75" t="s">
        <v>159</v>
      </c>
      <c r="E290" s="242"/>
      <c r="F290" s="61"/>
      <c r="G290" s="76">
        <v>69.989999999999995</v>
      </c>
      <c r="H290" s="53">
        <f>G290/68</f>
        <v>1.029264705882353</v>
      </c>
    </row>
    <row r="291" spans="1:8" s="17" customFormat="1" ht="12" x14ac:dyDescent="0.25">
      <c r="A291" s="254"/>
      <c r="B291" s="80" t="s">
        <v>157</v>
      </c>
      <c r="C291" s="74">
        <v>7896061996610</v>
      </c>
      <c r="D291" s="75" t="s">
        <v>160</v>
      </c>
      <c r="E291" s="242"/>
      <c r="F291" s="61"/>
      <c r="G291" s="76">
        <v>69.989999999999995</v>
      </c>
      <c r="H291" s="53">
        <f>G291/60</f>
        <v>1.1664999999999999</v>
      </c>
    </row>
    <row r="292" spans="1:8" s="17" customFormat="1" ht="12" x14ac:dyDescent="0.25">
      <c r="A292" s="254"/>
      <c r="B292" s="80" t="s">
        <v>157</v>
      </c>
      <c r="C292" s="74">
        <v>7896061996627</v>
      </c>
      <c r="D292" s="75" t="s">
        <v>161</v>
      </c>
      <c r="E292" s="242"/>
      <c r="F292" s="61"/>
      <c r="G292" s="76">
        <v>69.989999999999995</v>
      </c>
      <c r="H292" s="53">
        <f>G292/56</f>
        <v>1.2498214285714284</v>
      </c>
    </row>
    <row r="293" spans="1:8" s="17" customFormat="1" ht="12" x14ac:dyDescent="0.25">
      <c r="A293" s="254"/>
      <c r="B293" s="80" t="s">
        <v>157</v>
      </c>
      <c r="C293" s="74">
        <v>7896061996832</v>
      </c>
      <c r="D293" s="75" t="s">
        <v>162</v>
      </c>
      <c r="E293" s="242"/>
      <c r="F293" s="61"/>
      <c r="G293" s="76">
        <v>69.989999999999995</v>
      </c>
      <c r="H293" s="53">
        <f>G293/48</f>
        <v>1.4581249999999999</v>
      </c>
    </row>
    <row r="294" spans="1:8" s="17" customFormat="1" ht="12" x14ac:dyDescent="0.25">
      <c r="A294" s="254"/>
      <c r="B294" s="80" t="s">
        <v>157</v>
      </c>
      <c r="C294" s="74">
        <v>7896914012122</v>
      </c>
      <c r="D294" s="75" t="s">
        <v>163</v>
      </c>
      <c r="E294" s="242"/>
      <c r="F294" s="61"/>
      <c r="G294" s="76">
        <v>69.989999999999995</v>
      </c>
      <c r="H294" s="53">
        <f>G294/42</f>
        <v>1.6664285714285714</v>
      </c>
    </row>
    <row r="295" spans="1:8" s="17" customFormat="1" ht="12" x14ac:dyDescent="0.2">
      <c r="A295" s="254"/>
      <c r="B295" s="80" t="s">
        <v>157</v>
      </c>
      <c r="C295" s="59">
        <v>7896061995460</v>
      </c>
      <c r="D295" s="90" t="s">
        <v>164</v>
      </c>
      <c r="E295" s="244"/>
      <c r="F295" s="61"/>
      <c r="G295" s="76">
        <v>39.99</v>
      </c>
      <c r="H295" s="54">
        <f>G295/42</f>
        <v>0.95214285714285718</v>
      </c>
    </row>
    <row r="296" spans="1:8" s="17" customFormat="1" ht="12" x14ac:dyDescent="0.2">
      <c r="A296" s="254"/>
      <c r="B296" s="80" t="s">
        <v>157</v>
      </c>
      <c r="C296" s="59">
        <v>7896061995903</v>
      </c>
      <c r="D296" s="90" t="s">
        <v>165</v>
      </c>
      <c r="E296" s="244"/>
      <c r="F296" s="61"/>
      <c r="G296" s="76">
        <v>39.99</v>
      </c>
      <c r="H296" s="54">
        <f>G296/38</f>
        <v>1.0523684210526316</v>
      </c>
    </row>
    <row r="297" spans="1:8" s="17" customFormat="1" ht="12" x14ac:dyDescent="0.2">
      <c r="A297" s="254"/>
      <c r="B297" s="80" t="s">
        <v>157</v>
      </c>
      <c r="C297" s="59">
        <v>7896061995910</v>
      </c>
      <c r="D297" s="90" t="s">
        <v>166</v>
      </c>
      <c r="E297" s="244"/>
      <c r="F297" s="61"/>
      <c r="G297" s="76">
        <v>39.99</v>
      </c>
      <c r="H297" s="54">
        <f>G297/32</f>
        <v>1.2496875000000001</v>
      </c>
    </row>
    <row r="298" spans="1:8" s="17" customFormat="1" ht="12" x14ac:dyDescent="0.2">
      <c r="A298" s="254"/>
      <c r="B298" s="80" t="s">
        <v>157</v>
      </c>
      <c r="C298" s="59">
        <v>7896061995927</v>
      </c>
      <c r="D298" s="90" t="s">
        <v>167</v>
      </c>
      <c r="E298" s="244"/>
      <c r="F298" s="61"/>
      <c r="G298" s="76">
        <v>39.99</v>
      </c>
      <c r="H298" s="54">
        <f>G298/30</f>
        <v>1.333</v>
      </c>
    </row>
    <row r="299" spans="1:8" s="17" customFormat="1" ht="12" x14ac:dyDescent="0.2">
      <c r="A299" s="254"/>
      <c r="B299" s="80" t="s">
        <v>157</v>
      </c>
      <c r="C299" s="59">
        <v>7896061995477</v>
      </c>
      <c r="D299" s="90" t="s">
        <v>168</v>
      </c>
      <c r="E299" s="244"/>
      <c r="F299" s="61"/>
      <c r="G299" s="76">
        <v>39.99</v>
      </c>
      <c r="H299" s="54">
        <f>G299/28</f>
        <v>1.4282142857142859</v>
      </c>
    </row>
    <row r="300" spans="1:8" s="17" customFormat="1" ht="12" x14ac:dyDescent="0.2">
      <c r="A300" s="254"/>
      <c r="B300" s="80" t="s">
        <v>157</v>
      </c>
      <c r="C300" s="59">
        <v>7896914012115</v>
      </c>
      <c r="D300" s="90" t="s">
        <v>169</v>
      </c>
      <c r="E300" s="244"/>
      <c r="F300" s="61"/>
      <c r="G300" s="76">
        <v>39.99</v>
      </c>
      <c r="H300" s="54">
        <f>G300/24</f>
        <v>1.66625</v>
      </c>
    </row>
    <row r="301" spans="1:8" s="17" customFormat="1" ht="12" x14ac:dyDescent="0.2">
      <c r="A301" s="254"/>
      <c r="B301" s="80" t="s">
        <v>157</v>
      </c>
      <c r="C301" s="59">
        <v>7896061996849</v>
      </c>
      <c r="D301" s="90" t="s">
        <v>170</v>
      </c>
      <c r="E301" s="244"/>
      <c r="F301" s="61"/>
      <c r="G301" s="76">
        <v>39.99</v>
      </c>
      <c r="H301" s="55">
        <f>G301/34</f>
        <v>1.1761764705882354</v>
      </c>
    </row>
    <row r="302" spans="1:8" s="17" customFormat="1" ht="12" x14ac:dyDescent="0.2">
      <c r="A302" s="254"/>
      <c r="B302" s="80" t="s">
        <v>157</v>
      </c>
      <c r="C302" s="59">
        <v>7896061996351</v>
      </c>
      <c r="D302" s="90" t="s">
        <v>171</v>
      </c>
      <c r="E302" s="244"/>
      <c r="F302" s="61"/>
      <c r="G302" s="76">
        <v>39.99</v>
      </c>
      <c r="H302" s="55">
        <f>G302/32</f>
        <v>1.2496875000000001</v>
      </c>
    </row>
    <row r="303" spans="1:8" s="17" customFormat="1" ht="12" x14ac:dyDescent="0.2">
      <c r="A303" s="254"/>
      <c r="B303" s="80" t="s">
        <v>157</v>
      </c>
      <c r="C303" s="59">
        <v>7896061996368</v>
      </c>
      <c r="D303" s="90" t="s">
        <v>172</v>
      </c>
      <c r="E303" s="244"/>
      <c r="F303" s="61"/>
      <c r="G303" s="76">
        <v>39.99</v>
      </c>
      <c r="H303" s="55">
        <f>G303/26</f>
        <v>1.5380769230769231</v>
      </c>
    </row>
    <row r="304" spans="1:8" s="17" customFormat="1" ht="12" x14ac:dyDescent="0.2">
      <c r="A304" s="254"/>
      <c r="B304" s="80" t="s">
        <v>157</v>
      </c>
      <c r="C304" s="59">
        <v>7896061996375</v>
      </c>
      <c r="D304" s="90" t="s">
        <v>173</v>
      </c>
      <c r="E304" s="244"/>
      <c r="F304" s="61"/>
      <c r="G304" s="76">
        <v>39.99</v>
      </c>
      <c r="H304" s="55">
        <f>G304/24</f>
        <v>1.66625</v>
      </c>
    </row>
    <row r="305" spans="1:10" s="17" customFormat="1" ht="12" x14ac:dyDescent="0.2">
      <c r="A305" s="254"/>
      <c r="B305" s="80" t="s">
        <v>157</v>
      </c>
      <c r="C305" s="59">
        <v>7896061996887</v>
      </c>
      <c r="D305" s="90" t="s">
        <v>174</v>
      </c>
      <c r="E305" s="244"/>
      <c r="F305" s="61"/>
      <c r="G305" s="76">
        <v>39.99</v>
      </c>
      <c r="H305" s="55">
        <f>G305/24</f>
        <v>1.66625</v>
      </c>
    </row>
    <row r="306" spans="1:10" s="17" customFormat="1" ht="12" x14ac:dyDescent="0.2">
      <c r="A306" s="255"/>
      <c r="B306" s="80" t="s">
        <v>157</v>
      </c>
      <c r="C306" s="59">
        <v>7896061990632</v>
      </c>
      <c r="D306" s="90" t="s">
        <v>175</v>
      </c>
      <c r="E306" s="244"/>
      <c r="F306" s="61"/>
      <c r="G306" s="76">
        <v>29.99</v>
      </c>
    </row>
    <row r="307" spans="1:10" s="17" customFormat="1" ht="12" x14ac:dyDescent="0.25">
      <c r="A307" s="253" t="s">
        <v>61</v>
      </c>
      <c r="B307" s="80" t="s">
        <v>13</v>
      </c>
      <c r="C307" s="85">
        <v>7894650938898</v>
      </c>
      <c r="D307" s="86" t="s">
        <v>178</v>
      </c>
      <c r="E307" s="247"/>
      <c r="F307" s="61"/>
      <c r="G307" s="76">
        <v>62.99</v>
      </c>
    </row>
    <row r="308" spans="1:10" s="17" customFormat="1" ht="12" x14ac:dyDescent="0.25">
      <c r="A308" s="254"/>
      <c r="B308" s="80" t="s">
        <v>13</v>
      </c>
      <c r="C308" s="85">
        <v>7898392800277</v>
      </c>
      <c r="D308" s="87" t="s">
        <v>179</v>
      </c>
      <c r="E308" s="248"/>
      <c r="F308" s="61"/>
      <c r="G308" s="76">
        <v>62.99</v>
      </c>
    </row>
    <row r="309" spans="1:10" s="17" customFormat="1" ht="12" x14ac:dyDescent="0.25">
      <c r="A309" s="254"/>
      <c r="B309" s="80" t="s">
        <v>13</v>
      </c>
      <c r="C309" s="85">
        <v>7894650940006</v>
      </c>
      <c r="D309" s="87" t="s">
        <v>180</v>
      </c>
      <c r="E309" s="248"/>
      <c r="F309" s="61"/>
      <c r="G309" s="76">
        <v>20.99</v>
      </c>
    </row>
    <row r="310" spans="1:10" s="17" customFormat="1" ht="12" x14ac:dyDescent="0.25">
      <c r="A310" s="255"/>
      <c r="B310" s="80" t="s">
        <v>13</v>
      </c>
      <c r="C310" s="85">
        <v>7894650009567</v>
      </c>
      <c r="D310" s="88" t="s">
        <v>181</v>
      </c>
      <c r="E310" s="249"/>
      <c r="F310" s="61"/>
      <c r="G310" s="76">
        <v>20.99</v>
      </c>
    </row>
    <row r="311" spans="1:10" s="12" customFormat="1" x14ac:dyDescent="0.25">
      <c r="A311" s="36"/>
      <c r="B311" s="37"/>
      <c r="C311" s="23"/>
      <c r="D311" s="24"/>
      <c r="E311" s="24"/>
      <c r="F311" s="26"/>
      <c r="G311" s="25"/>
    </row>
    <row r="312" spans="1:10" ht="15.75" x14ac:dyDescent="0.25">
      <c r="A312" s="263" t="s">
        <v>20</v>
      </c>
      <c r="B312" s="264"/>
      <c r="C312" s="264"/>
      <c r="D312" s="264"/>
      <c r="E312" s="264"/>
      <c r="F312" s="264"/>
      <c r="G312" s="265"/>
      <c r="H312" s="131"/>
      <c r="I312" s="131"/>
      <c r="J312" s="131"/>
    </row>
    <row r="313" spans="1:10" s="12" customFormat="1" ht="38.25" x14ac:dyDescent="0.25">
      <c r="A313" s="7" t="s">
        <v>15</v>
      </c>
      <c r="B313" s="9" t="s">
        <v>16</v>
      </c>
      <c r="C313" s="9" t="s">
        <v>17</v>
      </c>
      <c r="D313" s="7" t="s">
        <v>18</v>
      </c>
      <c r="E313" s="7"/>
      <c r="F313" s="9"/>
      <c r="G313" s="9" t="s">
        <v>21</v>
      </c>
      <c r="H313" s="132" t="s">
        <v>194</v>
      </c>
      <c r="I313" s="132"/>
      <c r="J313" s="132"/>
    </row>
    <row r="314" spans="1:10" s="17" customFormat="1" ht="25.9" customHeight="1" x14ac:dyDescent="0.25">
      <c r="A314" s="20" t="s">
        <v>38</v>
      </c>
      <c r="B314" s="20" t="s">
        <v>47</v>
      </c>
      <c r="C314" s="41">
        <v>7896181918691</v>
      </c>
      <c r="D314" s="43" t="s">
        <v>111</v>
      </c>
      <c r="E314" s="43"/>
      <c r="F314" s="15"/>
      <c r="G314" s="27">
        <v>18.489999999999998</v>
      </c>
      <c r="H314" s="129" t="s">
        <v>195</v>
      </c>
      <c r="I314" s="129"/>
      <c r="J314" s="129"/>
    </row>
    <row r="315" spans="1:10" s="17" customFormat="1" ht="25.9" customHeight="1" x14ac:dyDescent="0.25">
      <c r="A315" s="20" t="s">
        <v>38</v>
      </c>
      <c r="B315" s="20" t="s">
        <v>47</v>
      </c>
      <c r="C315" s="39">
        <v>7896658051159</v>
      </c>
      <c r="D315" s="44" t="s">
        <v>112</v>
      </c>
      <c r="E315" s="44"/>
      <c r="F315" s="15"/>
      <c r="G315" s="27">
        <v>23.99</v>
      </c>
      <c r="H315" s="129" t="s">
        <v>199</v>
      </c>
      <c r="I315" s="129"/>
      <c r="J315" s="129"/>
    </row>
    <row r="316" spans="1:10" s="17" customFormat="1" ht="25.9" customHeight="1" x14ac:dyDescent="0.25">
      <c r="A316" s="20" t="s">
        <v>38</v>
      </c>
      <c r="B316" s="20" t="s">
        <v>47</v>
      </c>
      <c r="C316" s="45">
        <v>7896181900351</v>
      </c>
      <c r="D316" s="46" t="s">
        <v>182</v>
      </c>
      <c r="E316" s="46"/>
      <c r="F316" s="15"/>
      <c r="G316" s="27">
        <v>19.989999999999998</v>
      </c>
      <c r="H316" s="129" t="s">
        <v>200</v>
      </c>
      <c r="I316" s="129"/>
      <c r="J316" s="129"/>
    </row>
    <row r="317" spans="1:10" s="17" customFormat="1" ht="25.9" customHeight="1" x14ac:dyDescent="0.25">
      <c r="A317" s="38" t="s">
        <v>38</v>
      </c>
      <c r="B317" s="20" t="s">
        <v>186</v>
      </c>
      <c r="C317" s="18">
        <v>7896004784076</v>
      </c>
      <c r="D317" s="47" t="s">
        <v>187</v>
      </c>
      <c r="E317" s="47"/>
      <c r="F317" s="15"/>
      <c r="G317" s="27">
        <v>47.79</v>
      </c>
      <c r="H317" s="129" t="s">
        <v>201</v>
      </c>
      <c r="I317" s="129"/>
      <c r="J317" s="129"/>
    </row>
    <row r="318" spans="1:10" s="17" customFormat="1" ht="25.9" customHeight="1" x14ac:dyDescent="0.25">
      <c r="A318" s="38" t="s">
        <v>38</v>
      </c>
      <c r="B318" s="20" t="s">
        <v>186</v>
      </c>
      <c r="C318" s="48">
        <v>7896004704593</v>
      </c>
      <c r="D318" s="47" t="s">
        <v>188</v>
      </c>
      <c r="E318" s="47"/>
      <c r="F318" s="15"/>
      <c r="G318" s="27">
        <v>37.19</v>
      </c>
      <c r="H318" s="129" t="s">
        <v>202</v>
      </c>
      <c r="I318" s="129"/>
      <c r="J318" s="129"/>
    </row>
    <row r="319" spans="1:10" s="17" customFormat="1" ht="25.9" customHeight="1" x14ac:dyDescent="0.25">
      <c r="A319" s="38" t="s">
        <v>38</v>
      </c>
      <c r="B319" s="20" t="s">
        <v>35</v>
      </c>
      <c r="C319" s="18">
        <v>7896422524629</v>
      </c>
      <c r="D319" s="47" t="s">
        <v>120</v>
      </c>
      <c r="E319" s="47"/>
      <c r="F319" s="15"/>
      <c r="G319" s="27">
        <v>12.99</v>
      </c>
      <c r="H319" s="129" t="s">
        <v>196</v>
      </c>
      <c r="I319" s="129"/>
      <c r="J319" s="129"/>
    </row>
    <row r="320" spans="1:10" s="17" customFormat="1" ht="25.9" customHeight="1" x14ac:dyDescent="0.25">
      <c r="A320" s="38" t="s">
        <v>38</v>
      </c>
      <c r="B320" s="20" t="s">
        <v>35</v>
      </c>
      <c r="C320" s="18">
        <v>7896422522663</v>
      </c>
      <c r="D320" s="47" t="s">
        <v>121</v>
      </c>
      <c r="E320" s="47"/>
      <c r="F320" s="15"/>
      <c r="G320" s="27">
        <v>29.99</v>
      </c>
      <c r="H320" s="129" t="s">
        <v>197</v>
      </c>
      <c r="I320" s="129"/>
      <c r="J320" s="129"/>
    </row>
    <row r="321" spans="1:10" s="17" customFormat="1" ht="25.9" customHeight="1" x14ac:dyDescent="0.25">
      <c r="A321" s="38" t="s">
        <v>38</v>
      </c>
      <c r="B321" s="20" t="s">
        <v>35</v>
      </c>
      <c r="C321" s="18">
        <v>7896422522670</v>
      </c>
      <c r="D321" s="47" t="s">
        <v>122</v>
      </c>
      <c r="E321" s="47"/>
      <c r="F321" s="15"/>
      <c r="G321" s="27">
        <v>41.99</v>
      </c>
      <c r="H321" s="130" t="s">
        <v>198</v>
      </c>
      <c r="I321" s="129"/>
      <c r="J321" s="129"/>
    </row>
    <row r="322" spans="1:10" s="17" customFormat="1" ht="12" x14ac:dyDescent="0.25">
      <c r="A322" s="266" t="s">
        <v>61</v>
      </c>
      <c r="B322" s="73" t="s">
        <v>60</v>
      </c>
      <c r="C322" s="119">
        <v>7896112408666</v>
      </c>
      <c r="D322" s="120" t="s">
        <v>49</v>
      </c>
      <c r="E322" s="120"/>
      <c r="F322" s="121"/>
      <c r="G322" s="99">
        <v>34.99</v>
      </c>
      <c r="H322" s="129"/>
      <c r="I322" s="129"/>
      <c r="J322" s="129"/>
    </row>
    <row r="323" spans="1:10" s="17" customFormat="1" ht="12" x14ac:dyDescent="0.25">
      <c r="A323" s="267"/>
      <c r="B323" s="73" t="s">
        <v>60</v>
      </c>
      <c r="C323" s="119">
        <v>7896112405818</v>
      </c>
      <c r="D323" s="120" t="s">
        <v>50</v>
      </c>
      <c r="E323" s="120"/>
      <c r="F323" s="121"/>
      <c r="G323" s="99">
        <v>69.989999999999995</v>
      </c>
      <c r="H323" s="129"/>
      <c r="I323" s="129"/>
      <c r="J323" s="129"/>
    </row>
    <row r="324" spans="1:10" s="17" customFormat="1" ht="12" x14ac:dyDescent="0.25">
      <c r="A324" s="267"/>
      <c r="B324" s="73" t="s">
        <v>60</v>
      </c>
      <c r="C324" s="119">
        <v>7896112405832</v>
      </c>
      <c r="D324" s="120" t="s">
        <v>51</v>
      </c>
      <c r="E324" s="120"/>
      <c r="F324" s="121"/>
      <c r="G324" s="99">
        <v>125.99</v>
      </c>
      <c r="H324" s="129"/>
      <c r="I324" s="129"/>
      <c r="J324" s="129"/>
    </row>
    <row r="325" spans="1:10" s="17" customFormat="1" ht="12" x14ac:dyDescent="0.25">
      <c r="A325" s="267"/>
      <c r="B325" s="73" t="s">
        <v>60</v>
      </c>
      <c r="C325" s="122">
        <v>7896112400387</v>
      </c>
      <c r="D325" s="120" t="s">
        <v>52</v>
      </c>
      <c r="E325" s="120"/>
      <c r="F325" s="121"/>
      <c r="G325" s="99">
        <v>10.99</v>
      </c>
      <c r="H325" s="129"/>
      <c r="I325" s="129"/>
      <c r="J325" s="129"/>
    </row>
    <row r="326" spans="1:10" s="17" customFormat="1" ht="12" x14ac:dyDescent="0.25">
      <c r="A326" s="267"/>
      <c r="B326" s="73" t="s">
        <v>60</v>
      </c>
      <c r="C326" s="122">
        <v>7896112406969</v>
      </c>
      <c r="D326" s="120" t="s">
        <v>53</v>
      </c>
      <c r="E326" s="120"/>
      <c r="F326" s="121"/>
      <c r="G326" s="99">
        <v>25.99</v>
      </c>
      <c r="H326" s="129"/>
      <c r="I326" s="129"/>
      <c r="J326" s="129"/>
    </row>
    <row r="327" spans="1:10" s="17" customFormat="1" ht="12" x14ac:dyDescent="0.25">
      <c r="A327" s="267"/>
      <c r="B327" s="73" t="s">
        <v>60</v>
      </c>
      <c r="C327" s="122">
        <v>7896112400394</v>
      </c>
      <c r="D327" s="120" t="s">
        <v>54</v>
      </c>
      <c r="E327" s="120"/>
      <c r="F327" s="121"/>
      <c r="G327" s="99">
        <v>19.989999999999998</v>
      </c>
      <c r="H327" s="129"/>
      <c r="I327" s="129"/>
      <c r="J327" s="129"/>
    </row>
    <row r="328" spans="1:10" s="17" customFormat="1" ht="12" x14ac:dyDescent="0.25">
      <c r="A328" s="267"/>
      <c r="B328" s="73" t="s">
        <v>60</v>
      </c>
      <c r="C328" s="122">
        <v>7896112406976</v>
      </c>
      <c r="D328" s="120" t="s">
        <v>55</v>
      </c>
      <c r="E328" s="120"/>
      <c r="F328" s="121"/>
      <c r="G328" s="99">
        <v>44.99</v>
      </c>
      <c r="H328" s="129"/>
      <c r="I328" s="129"/>
      <c r="J328" s="129"/>
    </row>
    <row r="329" spans="1:10" s="17" customFormat="1" ht="12" x14ac:dyDescent="0.25">
      <c r="A329" s="267"/>
      <c r="B329" s="73" t="s">
        <v>60</v>
      </c>
      <c r="C329" s="122">
        <v>7896112406945</v>
      </c>
      <c r="D329" s="120" t="s">
        <v>56</v>
      </c>
      <c r="E329" s="120"/>
      <c r="F329" s="121"/>
      <c r="G329" s="99">
        <v>10.99</v>
      </c>
      <c r="H329" s="129"/>
      <c r="I329" s="129"/>
      <c r="J329" s="129"/>
    </row>
    <row r="330" spans="1:10" s="17" customFormat="1" ht="12" x14ac:dyDescent="0.25">
      <c r="A330" s="268"/>
      <c r="B330" s="73" t="s">
        <v>60</v>
      </c>
      <c r="C330" s="122">
        <v>7896112406952</v>
      </c>
      <c r="D330" s="120" t="s">
        <v>57</v>
      </c>
      <c r="E330" s="120"/>
      <c r="F330" s="121"/>
      <c r="G330" s="99">
        <v>19.989999999999998</v>
      </c>
      <c r="H330" s="129"/>
      <c r="I330" s="129"/>
      <c r="J330" s="129"/>
    </row>
    <row r="331" spans="1:10" s="17" customFormat="1" ht="12" x14ac:dyDescent="0.25">
      <c r="A331" s="266" t="s">
        <v>61</v>
      </c>
      <c r="B331" s="73" t="s">
        <v>60</v>
      </c>
      <c r="C331" s="96">
        <v>7896112410171</v>
      </c>
      <c r="D331" s="123" t="s">
        <v>58</v>
      </c>
      <c r="E331" s="123"/>
      <c r="F331" s="95"/>
      <c r="G331" s="99">
        <v>48.99</v>
      </c>
      <c r="H331" s="129"/>
      <c r="I331" s="129"/>
      <c r="J331" s="129"/>
    </row>
    <row r="332" spans="1:10" s="17" customFormat="1" ht="12" x14ac:dyDescent="0.25">
      <c r="A332" s="267"/>
      <c r="B332" s="73" t="s">
        <v>60</v>
      </c>
      <c r="C332" s="96">
        <v>7896112410454</v>
      </c>
      <c r="D332" s="123" t="s">
        <v>442</v>
      </c>
      <c r="E332" s="123" t="s">
        <v>443</v>
      </c>
      <c r="F332" s="95"/>
      <c r="G332" s="99">
        <v>48.99</v>
      </c>
      <c r="H332" s="129"/>
      <c r="I332" s="129"/>
      <c r="J332" s="129"/>
    </row>
    <row r="333" spans="1:10" s="17" customFormat="1" ht="12" x14ac:dyDescent="0.25">
      <c r="A333" s="268"/>
      <c r="B333" s="73" t="s">
        <v>60</v>
      </c>
      <c r="C333" s="96">
        <v>7896112410461</v>
      </c>
      <c r="D333" s="123" t="s">
        <v>59</v>
      </c>
      <c r="E333" s="123"/>
      <c r="F333" s="95"/>
      <c r="G333" s="99">
        <v>48.99</v>
      </c>
      <c r="H333" s="129"/>
      <c r="I333" s="129"/>
      <c r="J333" s="129"/>
    </row>
    <row r="334" spans="1:10" s="17" customFormat="1" ht="12" x14ac:dyDescent="0.2">
      <c r="A334" s="250" t="s">
        <v>61</v>
      </c>
      <c r="B334" s="73" t="s">
        <v>47</v>
      </c>
      <c r="C334" s="83">
        <v>7896658051425</v>
      </c>
      <c r="D334" s="97" t="s">
        <v>113</v>
      </c>
      <c r="E334" s="97"/>
      <c r="F334" s="95"/>
      <c r="G334" s="99">
        <v>19.489999999999998</v>
      </c>
      <c r="H334" s="129"/>
      <c r="I334" s="129"/>
      <c r="J334" s="129"/>
    </row>
    <row r="335" spans="1:10" s="17" customFormat="1" ht="12" x14ac:dyDescent="0.2">
      <c r="A335" s="251"/>
      <c r="B335" s="73" t="s">
        <v>47</v>
      </c>
      <c r="C335" s="63">
        <v>7896658051661</v>
      </c>
      <c r="D335" s="98" t="s">
        <v>114</v>
      </c>
      <c r="E335" s="98"/>
      <c r="F335" s="95"/>
      <c r="G335" s="99">
        <v>12.59</v>
      </c>
      <c r="H335" s="129"/>
      <c r="I335" s="129"/>
      <c r="J335" s="129"/>
    </row>
    <row r="336" spans="1:10" s="17" customFormat="1" ht="12" x14ac:dyDescent="0.2">
      <c r="A336" s="252"/>
      <c r="B336" s="73" t="s">
        <v>47</v>
      </c>
      <c r="C336" s="83">
        <v>7896658051647</v>
      </c>
      <c r="D336" s="98" t="s">
        <v>115</v>
      </c>
      <c r="E336" s="98"/>
      <c r="F336" s="95"/>
      <c r="G336" s="99">
        <v>21.39</v>
      </c>
      <c r="H336" s="129"/>
      <c r="I336" s="129"/>
      <c r="J336" s="129"/>
    </row>
    <row r="337" spans="1:10" s="17" customFormat="1" ht="12" x14ac:dyDescent="0.2">
      <c r="A337" s="250" t="s">
        <v>110</v>
      </c>
      <c r="B337" s="109" t="s">
        <v>31</v>
      </c>
      <c r="C337" s="59">
        <v>7896523207667</v>
      </c>
      <c r="D337" s="125" t="s">
        <v>183</v>
      </c>
      <c r="E337" s="125"/>
      <c r="F337" s="95"/>
      <c r="G337" s="99">
        <v>16.989999999999998</v>
      </c>
      <c r="H337" s="129"/>
      <c r="I337" s="129"/>
      <c r="J337" s="129"/>
    </row>
    <row r="338" spans="1:10" s="17" customFormat="1" ht="12" x14ac:dyDescent="0.2">
      <c r="A338" s="251"/>
      <c r="B338" s="109" t="s">
        <v>31</v>
      </c>
      <c r="C338" s="59">
        <v>7896523207681</v>
      </c>
      <c r="D338" s="125" t="s">
        <v>184</v>
      </c>
      <c r="E338" s="125"/>
      <c r="F338" s="95"/>
      <c r="G338" s="99">
        <v>16.989999999999998</v>
      </c>
      <c r="H338" s="129"/>
      <c r="I338" s="129"/>
      <c r="J338" s="129"/>
    </row>
    <row r="339" spans="1:10" s="17" customFormat="1" ht="12" x14ac:dyDescent="0.2">
      <c r="A339" s="251"/>
      <c r="B339" s="109" t="s">
        <v>31</v>
      </c>
      <c r="C339" s="59">
        <v>7896523206271</v>
      </c>
      <c r="D339" s="125" t="s">
        <v>444</v>
      </c>
      <c r="E339" s="125" t="s">
        <v>445</v>
      </c>
      <c r="F339" s="95"/>
      <c r="G339" s="99">
        <v>17.989999999999998</v>
      </c>
      <c r="H339" s="129"/>
      <c r="I339" s="129"/>
      <c r="J339" s="129"/>
    </row>
    <row r="340" spans="1:10" s="17" customFormat="1" ht="12" x14ac:dyDescent="0.2">
      <c r="A340" s="251"/>
      <c r="B340" s="109" t="s">
        <v>31</v>
      </c>
      <c r="C340" s="59">
        <v>7896523216461</v>
      </c>
      <c r="D340" s="125" t="s">
        <v>446</v>
      </c>
      <c r="E340" s="125" t="s">
        <v>447</v>
      </c>
      <c r="F340" s="95"/>
      <c r="G340" s="99">
        <v>16.989999999999998</v>
      </c>
      <c r="H340" s="129"/>
      <c r="I340" s="129"/>
      <c r="J340" s="129"/>
    </row>
    <row r="341" spans="1:10" s="17" customFormat="1" ht="12" x14ac:dyDescent="0.2">
      <c r="A341" s="251"/>
      <c r="B341" s="109" t="s">
        <v>31</v>
      </c>
      <c r="C341" s="59">
        <v>7896523216454</v>
      </c>
      <c r="D341" s="125" t="s">
        <v>446</v>
      </c>
      <c r="E341" s="125" t="s">
        <v>448</v>
      </c>
      <c r="F341" s="95"/>
      <c r="G341" s="99">
        <v>16.989999999999998</v>
      </c>
      <c r="H341" s="129"/>
      <c r="I341" s="129"/>
      <c r="J341" s="129"/>
    </row>
    <row r="342" spans="1:10" s="17" customFormat="1" ht="12" x14ac:dyDescent="0.2">
      <c r="A342" s="251"/>
      <c r="B342" s="109" t="s">
        <v>31</v>
      </c>
      <c r="C342" s="59">
        <v>7896523216478</v>
      </c>
      <c r="D342" s="125" t="s">
        <v>446</v>
      </c>
      <c r="E342" s="125" t="s">
        <v>445</v>
      </c>
      <c r="F342" s="95" t="s">
        <v>449</v>
      </c>
      <c r="G342" s="99">
        <v>16.989999999999998</v>
      </c>
      <c r="H342" s="129"/>
      <c r="I342" s="129"/>
      <c r="J342" s="129"/>
    </row>
    <row r="343" spans="1:10" s="17" customFormat="1" ht="12" x14ac:dyDescent="0.2">
      <c r="A343" s="251"/>
      <c r="B343" s="109" t="s">
        <v>31</v>
      </c>
      <c r="C343" s="59">
        <v>7896523216447</v>
      </c>
      <c r="D343" s="125" t="s">
        <v>446</v>
      </c>
      <c r="E343" s="125" t="s">
        <v>450</v>
      </c>
      <c r="F343" s="95" t="s">
        <v>449</v>
      </c>
      <c r="G343" s="99">
        <v>16.989999999999998</v>
      </c>
      <c r="H343" s="129"/>
      <c r="I343" s="129"/>
      <c r="J343" s="129"/>
    </row>
    <row r="344" spans="1:10" s="17" customFormat="1" ht="12" x14ac:dyDescent="0.2">
      <c r="A344" s="251"/>
      <c r="B344" s="109" t="s">
        <v>31</v>
      </c>
      <c r="C344" s="59">
        <v>7896523206806</v>
      </c>
      <c r="D344" s="125" t="s">
        <v>451</v>
      </c>
      <c r="E344" s="125" t="s">
        <v>450</v>
      </c>
      <c r="F344" s="95" t="s">
        <v>449</v>
      </c>
      <c r="G344" s="99">
        <v>16.989999999999998</v>
      </c>
      <c r="H344" s="129"/>
      <c r="I344" s="129"/>
      <c r="J344" s="129"/>
    </row>
    <row r="345" spans="1:10" s="17" customFormat="1" ht="12" x14ac:dyDescent="0.2">
      <c r="A345" s="251"/>
      <c r="B345" s="109" t="s">
        <v>31</v>
      </c>
      <c r="C345" s="59">
        <v>7897947600393</v>
      </c>
      <c r="D345" s="125" t="s">
        <v>185</v>
      </c>
      <c r="E345" s="125"/>
      <c r="F345" s="95"/>
      <c r="G345" s="99">
        <v>9.99</v>
      </c>
      <c r="H345" s="129"/>
      <c r="I345" s="129"/>
      <c r="J345" s="129"/>
    </row>
    <row r="346" spans="1:10" s="17" customFormat="1" ht="12" x14ac:dyDescent="0.2">
      <c r="A346" s="251"/>
      <c r="B346" s="109" t="s">
        <v>31</v>
      </c>
      <c r="C346" s="59">
        <v>7896523200576</v>
      </c>
      <c r="D346" s="125" t="s">
        <v>123</v>
      </c>
      <c r="E346" s="125"/>
      <c r="F346" s="95"/>
      <c r="G346" s="99">
        <v>15.99</v>
      </c>
      <c r="H346" s="129"/>
      <c r="I346" s="129"/>
      <c r="J346" s="129"/>
    </row>
    <row r="347" spans="1:10" s="17" customFormat="1" ht="12" x14ac:dyDescent="0.2">
      <c r="A347" s="251"/>
      <c r="B347" s="109" t="s">
        <v>31</v>
      </c>
      <c r="C347" s="59">
        <v>7896523206295</v>
      </c>
      <c r="D347" s="125" t="s">
        <v>124</v>
      </c>
      <c r="E347" s="125"/>
      <c r="F347" s="95"/>
      <c r="G347" s="99">
        <v>18.989999999999998</v>
      </c>
      <c r="H347" s="129"/>
      <c r="I347" s="129"/>
      <c r="J347" s="129"/>
    </row>
    <row r="348" spans="1:10" s="17" customFormat="1" ht="12" x14ac:dyDescent="0.2">
      <c r="A348" s="251"/>
      <c r="B348" s="109" t="s">
        <v>31</v>
      </c>
      <c r="C348" s="59">
        <v>7898075317962</v>
      </c>
      <c r="D348" s="125" t="s">
        <v>125</v>
      </c>
      <c r="E348" s="125"/>
      <c r="F348" s="95"/>
      <c r="G348" s="99">
        <v>21.99</v>
      </c>
      <c r="H348" s="129"/>
      <c r="I348" s="129"/>
      <c r="J348" s="129"/>
    </row>
    <row r="349" spans="1:10" s="17" customFormat="1" ht="12" x14ac:dyDescent="0.2">
      <c r="A349" s="251"/>
      <c r="B349" s="109" t="s">
        <v>31</v>
      </c>
      <c r="C349" s="59">
        <v>7898075317955</v>
      </c>
      <c r="D349" s="125" t="s">
        <v>126</v>
      </c>
      <c r="E349" s="125"/>
      <c r="F349" s="95"/>
      <c r="G349" s="99">
        <v>34.99</v>
      </c>
      <c r="H349" s="129"/>
      <c r="I349" s="129"/>
      <c r="J349" s="129"/>
    </row>
    <row r="350" spans="1:10" s="17" customFormat="1" ht="12" x14ac:dyDescent="0.2">
      <c r="A350" s="251"/>
      <c r="B350" s="109" t="s">
        <v>31</v>
      </c>
      <c r="C350" s="59">
        <v>7896523202822</v>
      </c>
      <c r="D350" s="125" t="s">
        <v>127</v>
      </c>
      <c r="E350" s="125"/>
      <c r="F350" s="95"/>
      <c r="G350" s="99">
        <v>7.99</v>
      </c>
      <c r="H350" s="129"/>
      <c r="I350" s="129"/>
      <c r="J350" s="129"/>
    </row>
    <row r="351" spans="1:10" s="17" customFormat="1" ht="12" x14ac:dyDescent="0.2">
      <c r="A351" s="252"/>
      <c r="B351" s="109" t="s">
        <v>31</v>
      </c>
      <c r="C351" s="59">
        <v>7896523202204</v>
      </c>
      <c r="D351" s="125" t="s">
        <v>128</v>
      </c>
      <c r="E351" s="125"/>
      <c r="F351" s="95"/>
      <c r="G351" s="99">
        <v>18.989999999999998</v>
      </c>
      <c r="H351" s="129"/>
      <c r="I351" s="129"/>
      <c r="J351" s="129"/>
    </row>
    <row r="352" spans="1:10" s="17" customFormat="1" ht="12" x14ac:dyDescent="0.25">
      <c r="A352" s="250" t="s">
        <v>61</v>
      </c>
      <c r="B352" s="73" t="s">
        <v>186</v>
      </c>
      <c r="C352" s="74">
        <v>7896004713342</v>
      </c>
      <c r="D352" s="94" t="s">
        <v>189</v>
      </c>
      <c r="E352" s="94"/>
      <c r="F352" s="95"/>
      <c r="G352" s="99">
        <v>45.39</v>
      </c>
      <c r="H352" s="129"/>
      <c r="I352" s="129"/>
      <c r="J352" s="129"/>
    </row>
    <row r="353" spans="1:10" s="17" customFormat="1" ht="12" x14ac:dyDescent="0.25">
      <c r="A353" s="251"/>
      <c r="B353" s="73" t="s">
        <v>186</v>
      </c>
      <c r="C353" s="96">
        <v>7896004769622</v>
      </c>
      <c r="D353" s="94" t="s">
        <v>190</v>
      </c>
      <c r="E353" s="94"/>
      <c r="F353" s="95"/>
      <c r="G353" s="99">
        <v>25.89</v>
      </c>
      <c r="H353" s="129"/>
      <c r="I353" s="129"/>
      <c r="J353" s="129"/>
    </row>
    <row r="354" spans="1:10" s="17" customFormat="1" ht="12" x14ac:dyDescent="0.25">
      <c r="A354" s="251"/>
      <c r="B354" s="73" t="s">
        <v>186</v>
      </c>
      <c r="C354" s="74">
        <v>7896004794075</v>
      </c>
      <c r="D354" s="94" t="s">
        <v>191</v>
      </c>
      <c r="E354" s="94"/>
      <c r="F354" s="95"/>
      <c r="G354" s="99">
        <v>62.69</v>
      </c>
      <c r="H354" s="129"/>
      <c r="I354" s="129"/>
      <c r="J354" s="129"/>
    </row>
    <row r="355" spans="1:10" s="17" customFormat="1" ht="12" x14ac:dyDescent="0.25">
      <c r="A355" s="251"/>
      <c r="B355" s="73" t="s">
        <v>186</v>
      </c>
      <c r="C355" s="74">
        <v>7896004794174</v>
      </c>
      <c r="D355" s="94" t="s">
        <v>192</v>
      </c>
      <c r="E355" s="94"/>
      <c r="F355" s="95"/>
      <c r="G355" s="99">
        <v>29.19</v>
      </c>
      <c r="H355" s="129"/>
      <c r="I355" s="129"/>
      <c r="J355" s="129"/>
    </row>
    <row r="356" spans="1:10" s="17" customFormat="1" ht="12" x14ac:dyDescent="0.25">
      <c r="A356" s="252"/>
      <c r="B356" s="73" t="s">
        <v>186</v>
      </c>
      <c r="C356" s="74">
        <v>7896004772332</v>
      </c>
      <c r="D356" s="94" t="s">
        <v>193</v>
      </c>
      <c r="E356" s="94"/>
      <c r="F356" s="95"/>
      <c r="G356" s="99">
        <v>30.89</v>
      </c>
      <c r="H356" s="129"/>
      <c r="I356" s="129"/>
      <c r="J356" s="129"/>
    </row>
    <row r="357" spans="1:10" s="17" customFormat="1" ht="12" x14ac:dyDescent="0.25">
      <c r="A357" s="102" t="s">
        <v>61</v>
      </c>
      <c r="B357" s="73" t="s">
        <v>30</v>
      </c>
      <c r="C357" s="74">
        <v>7899095205635</v>
      </c>
      <c r="D357" s="103" t="s">
        <v>133</v>
      </c>
      <c r="E357" s="103"/>
      <c r="F357" s="95"/>
      <c r="G357" s="99">
        <v>59.79</v>
      </c>
      <c r="H357" s="129"/>
      <c r="I357" s="129"/>
      <c r="J357" s="129"/>
    </row>
    <row r="358" spans="1:10" s="17" customFormat="1" ht="12" x14ac:dyDescent="0.2">
      <c r="A358" s="250" t="s">
        <v>61</v>
      </c>
      <c r="B358" s="73" t="s">
        <v>139</v>
      </c>
      <c r="C358" s="100">
        <v>7897698740058</v>
      </c>
      <c r="D358" s="60" t="s">
        <v>452</v>
      </c>
      <c r="E358" s="60" t="s">
        <v>244</v>
      </c>
      <c r="F358" s="95"/>
      <c r="G358" s="99">
        <v>21.99</v>
      </c>
      <c r="H358" s="129"/>
      <c r="I358" s="129"/>
      <c r="J358" s="129"/>
    </row>
    <row r="359" spans="1:10" s="17" customFormat="1" ht="12" x14ac:dyDescent="0.2">
      <c r="A359" s="251"/>
      <c r="B359" s="73" t="s">
        <v>139</v>
      </c>
      <c r="C359" s="101">
        <v>7897698740096</v>
      </c>
      <c r="D359" s="60" t="s">
        <v>452</v>
      </c>
      <c r="E359" s="60" t="s">
        <v>453</v>
      </c>
      <c r="F359" s="95"/>
      <c r="G359" s="99">
        <v>21.99</v>
      </c>
      <c r="H359" s="129"/>
      <c r="I359" s="129"/>
      <c r="J359" s="129"/>
    </row>
    <row r="360" spans="1:10" s="17" customFormat="1" ht="12" x14ac:dyDescent="0.2">
      <c r="A360" s="251"/>
      <c r="B360" s="73" t="s">
        <v>139</v>
      </c>
      <c r="C360" s="101">
        <v>7897698740072</v>
      </c>
      <c r="D360" s="60" t="s">
        <v>452</v>
      </c>
      <c r="E360" s="60" t="s">
        <v>454</v>
      </c>
      <c r="F360" s="95"/>
      <c r="G360" s="99">
        <v>21.99</v>
      </c>
      <c r="H360" s="129"/>
      <c r="I360" s="129"/>
      <c r="J360" s="129"/>
    </row>
    <row r="361" spans="1:10" s="17" customFormat="1" ht="12" x14ac:dyDescent="0.2">
      <c r="A361" s="251"/>
      <c r="B361" s="73" t="s">
        <v>139</v>
      </c>
      <c r="C361" s="100">
        <v>7897698787411</v>
      </c>
      <c r="D361" s="60" t="s">
        <v>140</v>
      </c>
      <c r="E361" s="60"/>
      <c r="F361" s="95"/>
      <c r="G361" s="99">
        <v>31.99</v>
      </c>
      <c r="H361" s="129"/>
      <c r="I361" s="129"/>
      <c r="J361" s="129"/>
    </row>
    <row r="362" spans="1:10" s="17" customFormat="1" ht="12" x14ac:dyDescent="0.2">
      <c r="A362" s="251"/>
      <c r="B362" s="73" t="s">
        <v>139</v>
      </c>
      <c r="C362" s="59">
        <v>7897698787534</v>
      </c>
      <c r="D362" s="60" t="s">
        <v>141</v>
      </c>
      <c r="E362" s="60"/>
      <c r="F362" s="95"/>
      <c r="G362" s="99">
        <v>59.99</v>
      </c>
      <c r="H362" s="129"/>
      <c r="I362" s="129"/>
      <c r="J362" s="129"/>
    </row>
    <row r="363" spans="1:10" s="17" customFormat="1" ht="12" x14ac:dyDescent="0.2">
      <c r="A363" s="252"/>
      <c r="B363" s="73" t="s">
        <v>139</v>
      </c>
      <c r="C363" s="100">
        <v>7897698787435</v>
      </c>
      <c r="D363" s="60" t="s">
        <v>142</v>
      </c>
      <c r="E363" s="60"/>
      <c r="F363" s="95"/>
      <c r="G363" s="99">
        <v>4.99</v>
      </c>
      <c r="H363" s="129"/>
      <c r="I363" s="129"/>
      <c r="J363" s="129"/>
    </row>
    <row r="364" spans="1:10" s="17" customFormat="1" ht="12" x14ac:dyDescent="0.25">
      <c r="A364" s="256" t="s">
        <v>61</v>
      </c>
      <c r="B364" s="109" t="s">
        <v>35</v>
      </c>
      <c r="C364" s="74">
        <v>7896422507059</v>
      </c>
      <c r="D364" s="94" t="s">
        <v>117</v>
      </c>
      <c r="E364" s="94"/>
      <c r="F364" s="95"/>
      <c r="G364" s="117">
        <v>16.989999999999998</v>
      </c>
      <c r="H364" s="129"/>
      <c r="I364" s="129"/>
      <c r="J364" s="129"/>
    </row>
    <row r="365" spans="1:10" s="17" customFormat="1" ht="12" x14ac:dyDescent="0.25">
      <c r="A365" s="257"/>
      <c r="B365" s="118" t="s">
        <v>35</v>
      </c>
      <c r="C365" s="74">
        <v>7896422506236</v>
      </c>
      <c r="D365" s="94" t="s">
        <v>118</v>
      </c>
      <c r="E365" s="94"/>
      <c r="F365" s="95"/>
      <c r="G365" s="117">
        <v>12.99</v>
      </c>
      <c r="H365" s="129"/>
      <c r="I365" s="129"/>
      <c r="J365" s="129"/>
    </row>
    <row r="366" spans="1:10" x14ac:dyDescent="0.25">
      <c r="A366" s="258"/>
      <c r="B366" s="109" t="s">
        <v>35</v>
      </c>
      <c r="C366" s="74">
        <v>7891058002602</v>
      </c>
      <c r="D366" s="94" t="s">
        <v>119</v>
      </c>
      <c r="E366" s="94"/>
      <c r="F366" s="95"/>
      <c r="G366" s="117">
        <v>12.99</v>
      </c>
      <c r="H366" s="129"/>
      <c r="I366" s="129"/>
      <c r="J366" s="129"/>
    </row>
    <row r="367" spans="1:10" s="17" customFormat="1" ht="12" x14ac:dyDescent="0.25">
      <c r="A367" s="250" t="s">
        <v>61</v>
      </c>
      <c r="B367" s="109" t="s">
        <v>36</v>
      </c>
      <c r="C367" s="74">
        <v>7891058017507</v>
      </c>
      <c r="D367" s="94" t="s">
        <v>150</v>
      </c>
      <c r="E367" s="94"/>
      <c r="F367" s="95"/>
      <c r="G367" s="99">
        <v>21.49</v>
      </c>
      <c r="H367" s="129"/>
      <c r="I367" s="129"/>
      <c r="J367" s="129"/>
    </row>
    <row r="368" spans="1:10" s="17" customFormat="1" ht="12" x14ac:dyDescent="0.25">
      <c r="A368" s="251"/>
      <c r="B368" s="109" t="s">
        <v>36</v>
      </c>
      <c r="C368" s="74">
        <v>7891058003944</v>
      </c>
      <c r="D368" s="94" t="s">
        <v>151</v>
      </c>
      <c r="E368" s="94"/>
      <c r="F368" s="95"/>
      <c r="G368" s="99">
        <v>15.49</v>
      </c>
      <c r="H368" s="129"/>
      <c r="I368" s="129"/>
      <c r="J368" s="129"/>
    </row>
    <row r="369" spans="1:10" s="17" customFormat="1" ht="12" x14ac:dyDescent="0.25">
      <c r="A369" s="251"/>
      <c r="B369" s="109" t="s">
        <v>36</v>
      </c>
      <c r="C369" s="74">
        <v>7891058005993</v>
      </c>
      <c r="D369" s="94" t="s">
        <v>152</v>
      </c>
      <c r="E369" s="94"/>
      <c r="F369" s="95"/>
      <c r="G369" s="99">
        <v>23.49</v>
      </c>
      <c r="H369" s="129"/>
      <c r="I369" s="129"/>
      <c r="J369" s="129"/>
    </row>
    <row r="370" spans="1:10" s="17" customFormat="1" ht="12" x14ac:dyDescent="0.25">
      <c r="A370" s="251"/>
      <c r="B370" s="109" t="s">
        <v>36</v>
      </c>
      <c r="C370" s="74">
        <v>7891058006044</v>
      </c>
      <c r="D370" s="94" t="s">
        <v>153</v>
      </c>
      <c r="E370" s="94"/>
      <c r="F370" s="95"/>
      <c r="G370" s="99">
        <v>42.79</v>
      </c>
      <c r="H370" s="129"/>
      <c r="I370" s="129"/>
      <c r="J370" s="129"/>
    </row>
    <row r="371" spans="1:10" s="17" customFormat="1" ht="12" x14ac:dyDescent="0.25">
      <c r="A371" s="251"/>
      <c r="B371" s="112" t="s">
        <v>36</v>
      </c>
      <c r="C371" s="113">
        <v>7891058024314</v>
      </c>
      <c r="D371" s="114" t="s">
        <v>154</v>
      </c>
      <c r="E371" s="114"/>
      <c r="F371" s="115"/>
      <c r="G371" s="116">
        <v>28.99</v>
      </c>
      <c r="H371" s="129"/>
      <c r="I371" s="129"/>
      <c r="J371" s="129"/>
    </row>
    <row r="372" spans="1:10" s="17" customFormat="1" ht="12" x14ac:dyDescent="0.25">
      <c r="A372" s="251"/>
      <c r="B372" s="109" t="s">
        <v>36</v>
      </c>
      <c r="C372" s="74">
        <v>7891058168049</v>
      </c>
      <c r="D372" s="94" t="s">
        <v>155</v>
      </c>
      <c r="E372" s="94"/>
      <c r="F372" s="95"/>
      <c r="G372" s="99">
        <v>57.99</v>
      </c>
      <c r="H372" s="129"/>
      <c r="I372" s="129"/>
      <c r="J372" s="129"/>
    </row>
    <row r="373" spans="1:10" s="17" customFormat="1" ht="12" x14ac:dyDescent="0.25">
      <c r="A373" s="252"/>
      <c r="B373" s="109" t="s">
        <v>36</v>
      </c>
      <c r="C373" s="74">
        <v>7891058169015</v>
      </c>
      <c r="D373" s="94" t="s">
        <v>156</v>
      </c>
      <c r="E373" s="94"/>
      <c r="F373" s="95"/>
      <c r="G373" s="99">
        <v>86.99</v>
      </c>
      <c r="H373" s="129"/>
      <c r="I373" s="129"/>
      <c r="J373" s="129"/>
    </row>
    <row r="374" spans="1:10" s="17" customFormat="1" ht="12" x14ac:dyDescent="0.2">
      <c r="A374" s="250" t="s">
        <v>61</v>
      </c>
      <c r="B374" s="104" t="s">
        <v>22</v>
      </c>
      <c r="C374" s="105">
        <v>7896016807213</v>
      </c>
      <c r="D374" s="106" t="s">
        <v>176</v>
      </c>
      <c r="E374" s="106"/>
      <c r="F374" s="107"/>
      <c r="G374" s="108">
        <v>59.99</v>
      </c>
      <c r="H374" s="129"/>
      <c r="I374" s="129"/>
      <c r="J374" s="129"/>
    </row>
    <row r="375" spans="1:10" s="17" customFormat="1" ht="12" x14ac:dyDescent="0.2">
      <c r="A375" s="251"/>
      <c r="B375" s="109" t="s">
        <v>22</v>
      </c>
      <c r="C375" s="59">
        <v>7896222721198</v>
      </c>
      <c r="D375" s="110" t="s">
        <v>177</v>
      </c>
      <c r="E375" s="110"/>
      <c r="F375" s="95"/>
      <c r="G375" s="111">
        <v>35.99</v>
      </c>
      <c r="H375" s="129"/>
      <c r="I375" s="129"/>
      <c r="J375" s="129"/>
    </row>
    <row r="376" spans="1:10" s="17" customFormat="1" ht="12" x14ac:dyDescent="0.2">
      <c r="A376" s="251"/>
      <c r="B376" s="109" t="s">
        <v>22</v>
      </c>
      <c r="C376" s="59">
        <v>7891035010958</v>
      </c>
      <c r="D376" s="110" t="s">
        <v>455</v>
      </c>
      <c r="E376" s="110" t="s">
        <v>448</v>
      </c>
      <c r="F376" s="95"/>
      <c r="G376" s="111">
        <v>17.989999999999998</v>
      </c>
      <c r="H376" s="129"/>
      <c r="I376" s="129"/>
      <c r="J376" s="129"/>
    </row>
    <row r="377" spans="1:10" s="17" customFormat="1" ht="12" x14ac:dyDescent="0.2">
      <c r="A377" s="252"/>
      <c r="B377" s="109" t="s">
        <v>22</v>
      </c>
      <c r="C377" s="59">
        <v>7891035010842</v>
      </c>
      <c r="D377" s="110" t="s">
        <v>455</v>
      </c>
      <c r="E377" s="110" t="s">
        <v>456</v>
      </c>
      <c r="F377" s="95"/>
      <c r="G377" s="99">
        <v>17.989999999999998</v>
      </c>
      <c r="H377" s="129"/>
      <c r="I377" s="129"/>
      <c r="J377" s="129"/>
    </row>
  </sheetData>
  <sortState xmlns:xlrd2="http://schemas.microsoft.com/office/spreadsheetml/2017/richdata2" ref="C141:G148">
    <sortCondition ref="D141:D148"/>
  </sortState>
  <mergeCells count="66">
    <mergeCell ref="H312:J312"/>
    <mergeCell ref="H313:J313"/>
    <mergeCell ref="H314:J314"/>
    <mergeCell ref="H315:J315"/>
    <mergeCell ref="H316:J316"/>
    <mergeCell ref="H322:J322"/>
    <mergeCell ref="H323:J323"/>
    <mergeCell ref="H324:J324"/>
    <mergeCell ref="H325:J325"/>
    <mergeCell ref="H326:J326"/>
    <mergeCell ref="H317:J317"/>
    <mergeCell ref="H318:J318"/>
    <mergeCell ref="H319:J319"/>
    <mergeCell ref="H320:J320"/>
    <mergeCell ref="H321:J321"/>
    <mergeCell ref="H332:J332"/>
    <mergeCell ref="H333:J333"/>
    <mergeCell ref="H334:J334"/>
    <mergeCell ref="H335:J335"/>
    <mergeCell ref="H336:J336"/>
    <mergeCell ref="H327:J327"/>
    <mergeCell ref="H328:J328"/>
    <mergeCell ref="H329:J329"/>
    <mergeCell ref="H330:J330"/>
    <mergeCell ref="H331:J331"/>
    <mergeCell ref="H342:J342"/>
    <mergeCell ref="H343:J343"/>
    <mergeCell ref="H344:J344"/>
    <mergeCell ref="H345:J345"/>
    <mergeCell ref="H346:J346"/>
    <mergeCell ref="H337:J337"/>
    <mergeCell ref="H338:J338"/>
    <mergeCell ref="H339:J339"/>
    <mergeCell ref="H340:J340"/>
    <mergeCell ref="H341:J341"/>
    <mergeCell ref="H352:J352"/>
    <mergeCell ref="H353:J353"/>
    <mergeCell ref="H354:J354"/>
    <mergeCell ref="H355:J355"/>
    <mergeCell ref="H356:J356"/>
    <mergeCell ref="H347:J347"/>
    <mergeCell ref="H348:J348"/>
    <mergeCell ref="H349:J349"/>
    <mergeCell ref="H350:J350"/>
    <mergeCell ref="H351:J351"/>
    <mergeCell ref="H362:J362"/>
    <mergeCell ref="H363:J363"/>
    <mergeCell ref="H364:J364"/>
    <mergeCell ref="H365:J365"/>
    <mergeCell ref="H366:J366"/>
    <mergeCell ref="H357:J357"/>
    <mergeCell ref="H358:J358"/>
    <mergeCell ref="H359:J359"/>
    <mergeCell ref="H360:J360"/>
    <mergeCell ref="H361:J361"/>
    <mergeCell ref="H377:J377"/>
    <mergeCell ref="H372:J372"/>
    <mergeCell ref="H373:J373"/>
    <mergeCell ref="H374:J374"/>
    <mergeCell ref="H375:J375"/>
    <mergeCell ref="H376:J376"/>
    <mergeCell ref="H367:J367"/>
    <mergeCell ref="H368:J368"/>
    <mergeCell ref="H369:J369"/>
    <mergeCell ref="H370:J370"/>
    <mergeCell ref="H371:J371"/>
  </mergeCells>
  <phoneticPr fontId="21" type="noConversion"/>
  <conditionalFormatting sqref="A313">
    <cfRule type="colorScale" priority="11">
      <colorScale>
        <cfvo type="min"/>
        <cfvo type="max"/>
        <color rgb="FF57BB8A"/>
        <color rgb="FFFFFFFF"/>
      </colorScale>
    </cfRule>
  </conditionalFormatting>
  <conditionalFormatting sqref="A3:G3">
    <cfRule type="colorScale" priority="21">
      <colorScale>
        <cfvo type="min"/>
        <cfvo type="max"/>
        <color rgb="FF57BB8A"/>
        <color rgb="FFFFFFFF"/>
      </colorScale>
    </cfRule>
  </conditionalFormatting>
  <conditionalFormatting sqref="C203:C209">
    <cfRule type="duplicateValues" dxfId="1" priority="5"/>
  </conditionalFormatting>
  <conditionalFormatting sqref="D313:E313">
    <cfRule type="colorScale" priority="14">
      <colorScale>
        <cfvo type="min"/>
        <cfvo type="max"/>
        <color rgb="FF57BB8A"/>
        <color rgb="FFFFFFFF"/>
      </colorScale>
    </cfRule>
  </conditionalFormatting>
  <conditionalFormatting sqref="D314:E322">
    <cfRule type="cellIs" dxfId="0" priority="1" operator="equal">
      <formula>0</formula>
    </cfRule>
  </conditionalFormatting>
  <conditionalFormatting sqref="F313:G313 B313:C313">
    <cfRule type="colorScale" priority="15">
      <colorScale>
        <cfvo type="min"/>
        <cfvo type="max"/>
        <color rgb="FF57BB8A"/>
        <color rgb="FFFFFFFF"/>
      </colorScale>
    </cfRule>
  </conditionalFormatting>
  <dataValidations disablePrompts="1" count="1">
    <dataValidation type="custom" allowBlank="1" showDropDown="1" showInputMessage="1" showErrorMessage="1" prompt="Digite um valor que satisfaça à condição da fórmula: =E(GTE(NÚM.CARACT(V3);MÍNIMO((5);(14)));LTE(NÚM.CARACT(V3);MÁXIMO((5);(14))))" sqref="C119 C123 C126 C116" xr:uid="{926E0833-3D49-4ADA-A8C7-04A81E1D3B39}">
      <formula1>AND(GTE(LEN(C118),MIN((5),(14))),LTE(LEN(C118),MAX((5),(14))))</formula1>
    </dataValidation>
  </dataValidations>
  <printOptions horizontalCentered="1"/>
  <pageMargins left="0" right="0" top="0.19685039370078741" bottom="0.19685039370078741" header="0" footer="0"/>
  <pageSetup paperSize="9" scale="53" fitToHeight="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7642-9834-4716-9FEA-12EA1FDF27CD}">
  <sheetPr>
    <pageSetUpPr fitToPage="1"/>
  </sheetPr>
  <dimension ref="A1:V34"/>
  <sheetViews>
    <sheetView showGridLines="0" zoomScale="55" zoomScaleNormal="55" workbookViewId="0">
      <selection activeCell="U3" sqref="U3"/>
    </sheetView>
  </sheetViews>
  <sheetFormatPr defaultRowHeight="15" x14ac:dyDescent="0.25"/>
  <cols>
    <col min="1" max="4" width="10.7109375" customWidth="1"/>
    <col min="5" max="5" width="2.7109375" customWidth="1"/>
    <col min="6" max="9" width="10.7109375" customWidth="1"/>
    <col min="10" max="10" width="2.7109375" customWidth="1"/>
    <col min="11" max="14" width="10.7109375" customWidth="1"/>
    <col min="15" max="15" width="2.7109375" customWidth="1"/>
    <col min="16" max="19" width="10.7109375" customWidth="1"/>
    <col min="20" max="20" width="2.42578125" customWidth="1"/>
    <col min="21" max="21" width="9.140625" customWidth="1"/>
  </cols>
  <sheetData>
    <row r="1" spans="1:22" s="1" customFormat="1" ht="15.75" thickBot="1" x14ac:dyDescent="0.3">
      <c r="A1" s="204" t="s">
        <v>0</v>
      </c>
      <c r="B1" s="205"/>
      <c r="C1" s="206"/>
      <c r="D1" s="207"/>
      <c r="F1" s="204" t="s">
        <v>1</v>
      </c>
      <c r="G1" s="208"/>
      <c r="H1" s="205"/>
      <c r="I1" s="207"/>
      <c r="K1" s="204" t="s">
        <v>2</v>
      </c>
      <c r="L1" s="208"/>
      <c r="M1" s="205"/>
      <c r="N1" s="207"/>
      <c r="P1" s="209" t="s">
        <v>3</v>
      </c>
      <c r="Q1" s="210"/>
      <c r="R1" s="211"/>
      <c r="S1" s="212"/>
    </row>
    <row r="2" spans="1:22" ht="35.1" customHeight="1" x14ac:dyDescent="0.25">
      <c r="A2" s="213" t="s">
        <v>4</v>
      </c>
      <c r="B2" s="214"/>
      <c r="C2" s="214"/>
      <c r="D2" s="215"/>
      <c r="F2" s="198" t="s">
        <v>70</v>
      </c>
      <c r="G2" s="199"/>
      <c r="H2" s="199"/>
      <c r="I2" s="200"/>
      <c r="K2" s="140" t="s">
        <v>40</v>
      </c>
      <c r="L2" s="141"/>
      <c r="M2" s="141"/>
      <c r="N2" s="142"/>
      <c r="O2" s="57"/>
      <c r="P2" s="226" t="s">
        <v>28</v>
      </c>
      <c r="Q2" s="227"/>
      <c r="R2" s="227"/>
      <c r="S2" s="228"/>
      <c r="T2" s="57"/>
      <c r="U2" s="57"/>
      <c r="V2" s="57"/>
    </row>
    <row r="3" spans="1:22" ht="35.1" customHeight="1" x14ac:dyDescent="0.25">
      <c r="A3" s="216"/>
      <c r="B3" s="217"/>
      <c r="C3" s="217"/>
      <c r="D3" s="218"/>
      <c r="F3" s="219"/>
      <c r="G3" s="220"/>
      <c r="H3" s="220"/>
      <c r="I3" s="221"/>
      <c r="K3" s="143"/>
      <c r="L3" s="144"/>
      <c r="M3" s="144"/>
      <c r="N3" s="145"/>
      <c r="O3" s="57"/>
      <c r="P3" s="151"/>
      <c r="Q3" s="152"/>
      <c r="R3" s="152"/>
      <c r="S3" s="153"/>
      <c r="T3" s="57"/>
      <c r="U3" s="57"/>
      <c r="V3" s="57"/>
    </row>
    <row r="4" spans="1:22" ht="35.1" customHeight="1" x14ac:dyDescent="0.25">
      <c r="A4" s="216"/>
      <c r="B4" s="217"/>
      <c r="C4" s="217"/>
      <c r="D4" s="218"/>
      <c r="F4" s="151" t="s">
        <v>41</v>
      </c>
      <c r="G4" s="152"/>
      <c r="H4" s="152"/>
      <c r="I4" s="153"/>
      <c r="K4" s="143"/>
      <c r="L4" s="144"/>
      <c r="M4" s="144"/>
      <c r="N4" s="145"/>
      <c r="O4" s="57"/>
      <c r="P4" s="151" t="s">
        <v>27</v>
      </c>
      <c r="Q4" s="152"/>
      <c r="R4" s="152"/>
      <c r="S4" s="153"/>
      <c r="T4" s="57"/>
      <c r="U4" s="57"/>
      <c r="V4" s="57"/>
    </row>
    <row r="5" spans="1:22" ht="35.1" customHeight="1" x14ac:dyDescent="0.25">
      <c r="A5" s="216"/>
      <c r="B5" s="217"/>
      <c r="C5" s="217"/>
      <c r="D5" s="218"/>
      <c r="F5" s="151"/>
      <c r="G5" s="152"/>
      <c r="H5" s="152"/>
      <c r="I5" s="153"/>
      <c r="K5" s="146"/>
      <c r="L5" s="147"/>
      <c r="M5" s="147"/>
      <c r="N5" s="148"/>
      <c r="O5" s="57"/>
      <c r="P5" s="151"/>
      <c r="Q5" s="152"/>
      <c r="R5" s="152"/>
      <c r="S5" s="153"/>
      <c r="T5" s="57"/>
      <c r="U5" s="57"/>
      <c r="V5" s="57"/>
    </row>
    <row r="6" spans="1:22" ht="35.1" customHeight="1" x14ac:dyDescent="0.25">
      <c r="A6" s="216"/>
      <c r="B6" s="217"/>
      <c r="C6" s="217"/>
      <c r="D6" s="218"/>
      <c r="F6" s="151" t="s">
        <v>33</v>
      </c>
      <c r="G6" s="152"/>
      <c r="H6" s="152"/>
      <c r="I6" s="153"/>
      <c r="K6" s="151" t="s">
        <v>43</v>
      </c>
      <c r="L6" s="152"/>
      <c r="M6" s="152"/>
      <c r="N6" s="153"/>
      <c r="O6" s="57"/>
      <c r="P6" s="151" t="s">
        <v>45</v>
      </c>
      <c r="Q6" s="152"/>
      <c r="R6" s="152"/>
      <c r="S6" s="153"/>
      <c r="T6" s="57"/>
      <c r="U6" s="57"/>
      <c r="V6" s="57"/>
    </row>
    <row r="7" spans="1:22" ht="35.1" customHeight="1" x14ac:dyDescent="0.25">
      <c r="A7" s="216"/>
      <c r="B7" s="217"/>
      <c r="C7" s="217"/>
      <c r="D7" s="218"/>
      <c r="F7" s="151"/>
      <c r="G7" s="152"/>
      <c r="H7" s="152"/>
      <c r="I7" s="153"/>
      <c r="K7" s="151"/>
      <c r="L7" s="152"/>
      <c r="M7" s="152"/>
      <c r="N7" s="153"/>
      <c r="O7" s="57"/>
      <c r="P7" s="151"/>
      <c r="Q7" s="152"/>
      <c r="R7" s="152"/>
      <c r="S7" s="153"/>
      <c r="T7" s="57"/>
      <c r="U7" s="57"/>
      <c r="V7" s="57"/>
    </row>
    <row r="8" spans="1:22" ht="35.1" customHeight="1" x14ac:dyDescent="0.25">
      <c r="A8" s="163" t="s">
        <v>48</v>
      </c>
      <c r="B8" s="149"/>
      <c r="C8" s="222" t="s">
        <v>65</v>
      </c>
      <c r="D8" s="223"/>
      <c r="F8" s="151" t="s">
        <v>32</v>
      </c>
      <c r="G8" s="152"/>
      <c r="H8" s="152"/>
      <c r="I8" s="153"/>
      <c r="K8" s="151" t="s">
        <v>43</v>
      </c>
      <c r="L8" s="152"/>
      <c r="M8" s="152"/>
      <c r="N8" s="153"/>
      <c r="O8" s="57"/>
      <c r="P8" s="151" t="s">
        <v>44</v>
      </c>
      <c r="Q8" s="152"/>
      <c r="R8" s="152"/>
      <c r="S8" s="153"/>
      <c r="T8" s="57"/>
      <c r="U8" s="57"/>
      <c r="V8" s="57"/>
    </row>
    <row r="9" spans="1:22" ht="35.1" customHeight="1" thickBot="1" x14ac:dyDescent="0.3">
      <c r="A9" s="164"/>
      <c r="B9" s="165"/>
      <c r="C9" s="224"/>
      <c r="D9" s="225"/>
      <c r="F9" s="157"/>
      <c r="G9" s="158"/>
      <c r="H9" s="158"/>
      <c r="I9" s="159"/>
      <c r="K9" s="157"/>
      <c r="L9" s="158"/>
      <c r="M9" s="158"/>
      <c r="N9" s="159"/>
      <c r="O9" s="57"/>
      <c r="P9" s="157"/>
      <c r="Q9" s="158"/>
      <c r="R9" s="158"/>
      <c r="S9" s="159"/>
      <c r="T9" s="57"/>
      <c r="U9" s="57"/>
      <c r="V9" s="57"/>
    </row>
    <row r="10" spans="1:22" ht="15.75" thickBot="1" x14ac:dyDescent="0.3">
      <c r="C10" s="2"/>
    </row>
    <row r="11" spans="1:22" ht="15.75" thickBot="1" x14ac:dyDescent="0.3">
      <c r="A11" s="136" t="s">
        <v>5</v>
      </c>
      <c r="B11" s="138"/>
      <c r="C11" s="197"/>
      <c r="D11" s="139"/>
      <c r="F11" s="136" t="s">
        <v>6</v>
      </c>
      <c r="G11" s="137"/>
      <c r="H11" s="138"/>
      <c r="I11" s="139"/>
      <c r="K11" s="133" t="s">
        <v>7</v>
      </c>
      <c r="L11" s="134"/>
      <c r="M11" s="134"/>
      <c r="N11" s="135"/>
      <c r="P11" s="136" t="s">
        <v>8</v>
      </c>
      <c r="Q11" s="137"/>
      <c r="R11" s="138"/>
      <c r="S11" s="139"/>
    </row>
    <row r="12" spans="1:22" ht="35.1" customHeight="1" x14ac:dyDescent="0.25">
      <c r="A12" s="177" t="s">
        <v>29</v>
      </c>
      <c r="B12" s="178"/>
      <c r="C12" s="178"/>
      <c r="D12" s="179"/>
      <c r="F12" s="186" t="s">
        <v>42</v>
      </c>
      <c r="G12" s="187"/>
      <c r="H12" s="190" t="s">
        <v>73</v>
      </c>
      <c r="I12" s="191"/>
      <c r="K12" s="140" t="s">
        <v>25</v>
      </c>
      <c r="L12" s="141"/>
      <c r="M12" s="141"/>
      <c r="N12" s="142"/>
      <c r="O12" s="57"/>
      <c r="P12" s="140" t="s">
        <v>39</v>
      </c>
      <c r="Q12" s="141"/>
      <c r="R12" s="141"/>
      <c r="S12" s="142"/>
    </row>
    <row r="13" spans="1:22" ht="35.1" customHeight="1" x14ac:dyDescent="0.25">
      <c r="A13" s="180"/>
      <c r="B13" s="181"/>
      <c r="C13" s="181"/>
      <c r="D13" s="182"/>
      <c r="F13" s="188"/>
      <c r="G13" s="189"/>
      <c r="H13" s="192"/>
      <c r="I13" s="193"/>
      <c r="K13" s="143"/>
      <c r="L13" s="144"/>
      <c r="M13" s="144"/>
      <c r="N13" s="145"/>
      <c r="O13" s="57"/>
      <c r="P13" s="143"/>
      <c r="Q13" s="144"/>
      <c r="R13" s="144"/>
      <c r="S13" s="145"/>
    </row>
    <row r="14" spans="1:22" ht="35.1" customHeight="1" x14ac:dyDescent="0.25">
      <c r="A14" s="180"/>
      <c r="B14" s="181"/>
      <c r="C14" s="181"/>
      <c r="D14" s="182"/>
      <c r="F14" s="151" t="s">
        <v>13</v>
      </c>
      <c r="G14" s="152"/>
      <c r="H14" s="152"/>
      <c r="I14" s="153"/>
      <c r="K14" s="143"/>
      <c r="L14" s="144"/>
      <c r="M14" s="144"/>
      <c r="N14" s="145"/>
      <c r="O14" s="57"/>
      <c r="P14" s="143"/>
      <c r="Q14" s="144"/>
      <c r="R14" s="144"/>
      <c r="S14" s="145"/>
    </row>
    <row r="15" spans="1:22" ht="35.1" customHeight="1" x14ac:dyDescent="0.25">
      <c r="A15" s="180"/>
      <c r="B15" s="181"/>
      <c r="C15" s="181"/>
      <c r="D15" s="182"/>
      <c r="F15" s="154"/>
      <c r="G15" s="155"/>
      <c r="H15" s="155"/>
      <c r="I15" s="156"/>
      <c r="K15" s="143"/>
      <c r="L15" s="144"/>
      <c r="M15" s="144"/>
      <c r="N15" s="145"/>
      <c r="O15" s="57"/>
      <c r="P15" s="146"/>
      <c r="Q15" s="147"/>
      <c r="R15" s="147"/>
      <c r="S15" s="148"/>
    </row>
    <row r="16" spans="1:22" ht="35.1" customHeight="1" x14ac:dyDescent="0.25">
      <c r="A16" s="180"/>
      <c r="B16" s="181"/>
      <c r="C16" s="181"/>
      <c r="D16" s="182"/>
      <c r="F16" s="194" t="s">
        <v>24</v>
      </c>
      <c r="G16" s="195"/>
      <c r="H16" s="195"/>
      <c r="I16" s="196"/>
      <c r="K16" s="143"/>
      <c r="L16" s="144"/>
      <c r="M16" s="144"/>
      <c r="N16" s="145"/>
      <c r="O16" s="57"/>
      <c r="P16" s="151" t="s">
        <v>46</v>
      </c>
      <c r="Q16" s="152"/>
      <c r="R16" s="152"/>
      <c r="S16" s="153"/>
    </row>
    <row r="17" spans="1:20" ht="35.1" customHeight="1" x14ac:dyDescent="0.25">
      <c r="A17" s="180"/>
      <c r="B17" s="181"/>
      <c r="C17" s="181"/>
      <c r="D17" s="182"/>
      <c r="F17" s="180"/>
      <c r="G17" s="181"/>
      <c r="H17" s="181"/>
      <c r="I17" s="182"/>
      <c r="K17" s="143"/>
      <c r="L17" s="144"/>
      <c r="M17" s="144"/>
      <c r="N17" s="145"/>
      <c r="O17" s="57"/>
      <c r="P17" s="154"/>
      <c r="Q17" s="155"/>
      <c r="R17" s="155"/>
      <c r="S17" s="156"/>
    </row>
    <row r="18" spans="1:20" ht="35.1" customHeight="1" x14ac:dyDescent="0.25">
      <c r="A18" s="180"/>
      <c r="B18" s="181"/>
      <c r="C18" s="181"/>
      <c r="D18" s="182"/>
      <c r="F18" s="180"/>
      <c r="G18" s="181"/>
      <c r="H18" s="181"/>
      <c r="I18" s="182"/>
      <c r="K18" s="143"/>
      <c r="L18" s="144"/>
      <c r="M18" s="144"/>
      <c r="N18" s="145"/>
      <c r="O18" s="57"/>
      <c r="P18" s="151" t="s">
        <v>26</v>
      </c>
      <c r="Q18" s="152"/>
      <c r="R18" s="152"/>
      <c r="S18" s="153"/>
    </row>
    <row r="19" spans="1:20" ht="35.1" customHeight="1" thickBot="1" x14ac:dyDescent="0.3">
      <c r="A19" s="183"/>
      <c r="B19" s="184"/>
      <c r="C19" s="184"/>
      <c r="D19" s="185"/>
      <c r="F19" s="183"/>
      <c r="G19" s="184"/>
      <c r="H19" s="184"/>
      <c r="I19" s="185"/>
      <c r="K19" s="160"/>
      <c r="L19" s="161"/>
      <c r="M19" s="161"/>
      <c r="N19" s="162"/>
      <c r="O19" s="57"/>
      <c r="P19" s="157"/>
      <c r="Q19" s="158"/>
      <c r="R19" s="158"/>
      <c r="S19" s="159"/>
    </row>
    <row r="20" spans="1:20" ht="15.75" thickBot="1" x14ac:dyDescent="0.3"/>
    <row r="21" spans="1:20" ht="15.75" thickBot="1" x14ac:dyDescent="0.3">
      <c r="A21" s="136" t="s">
        <v>9</v>
      </c>
      <c r="B21" s="138"/>
      <c r="C21" s="197"/>
      <c r="D21" s="139"/>
      <c r="F21" s="136" t="s">
        <v>10</v>
      </c>
      <c r="G21" s="137"/>
      <c r="H21" s="138"/>
      <c r="I21" s="139"/>
      <c r="K21" s="133" t="s">
        <v>11</v>
      </c>
      <c r="L21" s="134"/>
      <c r="M21" s="134"/>
      <c r="N21" s="135"/>
      <c r="P21" s="136" t="s">
        <v>12</v>
      </c>
      <c r="Q21" s="137"/>
      <c r="R21" s="138"/>
      <c r="S21" s="139"/>
    </row>
    <row r="22" spans="1:20" ht="35.1" customHeight="1" x14ac:dyDescent="0.25">
      <c r="A22" s="177" t="s">
        <v>31</v>
      </c>
      <c r="B22" s="178"/>
      <c r="C22" s="178"/>
      <c r="D22" s="179"/>
      <c r="F22" s="198" t="s">
        <v>72</v>
      </c>
      <c r="G22" s="199"/>
      <c r="H22" s="199"/>
      <c r="I22" s="200"/>
      <c r="K22" s="140" t="s">
        <v>30</v>
      </c>
      <c r="L22" s="141"/>
      <c r="M22" s="141"/>
      <c r="N22" s="142"/>
      <c r="O22" s="170"/>
      <c r="P22" s="173" t="s">
        <v>47</v>
      </c>
      <c r="Q22" s="174"/>
      <c r="R22" s="174" t="s">
        <v>35</v>
      </c>
      <c r="S22" s="175"/>
      <c r="T22" s="167" t="s">
        <v>38</v>
      </c>
    </row>
    <row r="23" spans="1:20" ht="35.1" customHeight="1" x14ac:dyDescent="0.25">
      <c r="A23" s="180"/>
      <c r="B23" s="181"/>
      <c r="C23" s="181"/>
      <c r="D23" s="182"/>
      <c r="F23" s="201"/>
      <c r="G23" s="202"/>
      <c r="H23" s="202"/>
      <c r="I23" s="203"/>
      <c r="K23" s="146"/>
      <c r="L23" s="147"/>
      <c r="M23" s="147"/>
      <c r="N23" s="148"/>
      <c r="O23" s="171"/>
      <c r="P23" s="151" t="s">
        <v>47</v>
      </c>
      <c r="Q23" s="176"/>
      <c r="R23" s="149" t="s">
        <v>35</v>
      </c>
      <c r="S23" s="150"/>
      <c r="T23" s="168"/>
    </row>
    <row r="24" spans="1:20" ht="35.1" customHeight="1" x14ac:dyDescent="0.25">
      <c r="A24" s="180"/>
      <c r="B24" s="181"/>
      <c r="C24" s="181"/>
      <c r="D24" s="182"/>
      <c r="F24" s="154" t="s">
        <v>71</v>
      </c>
      <c r="G24" s="155"/>
      <c r="H24" s="155"/>
      <c r="I24" s="156"/>
      <c r="K24" s="163" t="s">
        <v>22</v>
      </c>
      <c r="L24" s="149"/>
      <c r="M24" s="149"/>
      <c r="N24" s="150"/>
      <c r="O24" s="171"/>
      <c r="P24" s="151" t="s">
        <v>47</v>
      </c>
      <c r="Q24" s="176"/>
      <c r="R24" s="149" t="s">
        <v>35</v>
      </c>
      <c r="S24" s="150"/>
      <c r="T24" s="168"/>
    </row>
    <row r="25" spans="1:20" ht="35.1" customHeight="1" x14ac:dyDescent="0.25">
      <c r="A25" s="180"/>
      <c r="B25" s="181"/>
      <c r="C25" s="181"/>
      <c r="D25" s="182"/>
      <c r="F25" s="146"/>
      <c r="G25" s="147"/>
      <c r="H25" s="147"/>
      <c r="I25" s="148"/>
      <c r="K25" s="163"/>
      <c r="L25" s="149"/>
      <c r="M25" s="149"/>
      <c r="N25" s="150"/>
      <c r="O25" s="172"/>
      <c r="P25" s="163" t="s">
        <v>116</v>
      </c>
      <c r="Q25" s="149"/>
      <c r="R25" s="149" t="s">
        <v>116</v>
      </c>
      <c r="S25" s="150"/>
      <c r="T25" s="169"/>
    </row>
    <row r="26" spans="1:20" ht="35.1" customHeight="1" x14ac:dyDescent="0.25">
      <c r="A26" s="180"/>
      <c r="B26" s="181"/>
      <c r="C26" s="181"/>
      <c r="D26" s="182"/>
      <c r="F26" s="163" t="s">
        <v>47</v>
      </c>
      <c r="G26" s="149"/>
      <c r="H26" s="149"/>
      <c r="I26" s="150"/>
      <c r="K26" s="163" t="s">
        <v>36</v>
      </c>
      <c r="L26" s="149"/>
      <c r="M26" s="149"/>
      <c r="N26" s="150"/>
      <c r="O26" s="57"/>
      <c r="P26" s="163" t="s">
        <v>37</v>
      </c>
      <c r="Q26" s="149"/>
      <c r="R26" s="149"/>
      <c r="S26" s="150"/>
    </row>
    <row r="27" spans="1:20" ht="35.1" customHeight="1" x14ac:dyDescent="0.25">
      <c r="A27" s="180"/>
      <c r="B27" s="181"/>
      <c r="C27" s="181"/>
      <c r="D27" s="182"/>
      <c r="F27" s="163"/>
      <c r="G27" s="149"/>
      <c r="H27" s="149"/>
      <c r="I27" s="150"/>
      <c r="K27" s="163"/>
      <c r="L27" s="149"/>
      <c r="M27" s="149"/>
      <c r="N27" s="150"/>
      <c r="O27" s="57"/>
      <c r="P27" s="163"/>
      <c r="Q27" s="149"/>
      <c r="R27" s="149"/>
      <c r="S27" s="150"/>
    </row>
    <row r="28" spans="1:20" ht="35.1" customHeight="1" x14ac:dyDescent="0.25">
      <c r="A28" s="180"/>
      <c r="B28" s="181"/>
      <c r="C28" s="181"/>
      <c r="D28" s="182"/>
      <c r="F28" s="163" t="s">
        <v>34</v>
      </c>
      <c r="G28" s="149"/>
      <c r="H28" s="149"/>
      <c r="I28" s="150"/>
      <c r="K28" s="163" t="s">
        <v>35</v>
      </c>
      <c r="L28" s="149"/>
      <c r="M28" s="149"/>
      <c r="N28" s="150"/>
      <c r="O28" s="57"/>
      <c r="P28" s="163" t="s">
        <v>37</v>
      </c>
      <c r="Q28" s="149"/>
      <c r="R28" s="149"/>
      <c r="S28" s="150"/>
    </row>
    <row r="29" spans="1:20" ht="35.1" customHeight="1" thickBot="1" x14ac:dyDescent="0.3">
      <c r="A29" s="183"/>
      <c r="B29" s="184"/>
      <c r="C29" s="184"/>
      <c r="D29" s="185"/>
      <c r="F29" s="164"/>
      <c r="G29" s="165"/>
      <c r="H29" s="165"/>
      <c r="I29" s="166"/>
      <c r="K29" s="164"/>
      <c r="L29" s="165"/>
      <c r="M29" s="165"/>
      <c r="N29" s="166"/>
      <c r="O29" s="57"/>
      <c r="P29" s="164"/>
      <c r="Q29" s="165"/>
      <c r="R29" s="165"/>
      <c r="S29" s="166"/>
    </row>
    <row r="31" spans="1:20" ht="14.45" customHeight="1" x14ac:dyDescent="0.25">
      <c r="F31" s="3"/>
      <c r="G31" s="3"/>
      <c r="H31" s="3"/>
      <c r="I31" s="3"/>
    </row>
    <row r="32" spans="1:20" ht="18.75" x14ac:dyDescent="0.3">
      <c r="A32" s="4"/>
      <c r="B32" s="4"/>
      <c r="F32" s="3"/>
      <c r="G32" s="3"/>
      <c r="H32" s="3"/>
      <c r="I32" s="3"/>
    </row>
    <row r="33" spans="1:9" ht="18.75" x14ac:dyDescent="0.3">
      <c r="A33" s="4"/>
      <c r="B33" s="4"/>
      <c r="F33" s="3"/>
      <c r="G33" s="3"/>
      <c r="H33" s="3"/>
      <c r="I33" s="3"/>
    </row>
    <row r="34" spans="1:9" ht="14.45" customHeight="1" x14ac:dyDescent="0.25">
      <c r="F34" s="3"/>
      <c r="G34" s="3"/>
      <c r="H34" s="3"/>
      <c r="I34" s="3"/>
    </row>
  </sheetData>
  <mergeCells count="56">
    <mergeCell ref="A11:D11"/>
    <mergeCell ref="F11:I11"/>
    <mergeCell ref="F4:I5"/>
    <mergeCell ref="K8:N9"/>
    <mergeCell ref="P24:Q24"/>
    <mergeCell ref="K21:N21"/>
    <mergeCell ref="P21:S21"/>
    <mergeCell ref="K2:N5"/>
    <mergeCell ref="P6:S7"/>
    <mergeCell ref="P8:S9"/>
    <mergeCell ref="F2:I3"/>
    <mergeCell ref="A8:B9"/>
    <mergeCell ref="C8:D9"/>
    <mergeCell ref="P2:S3"/>
    <mergeCell ref="P4:S5"/>
    <mergeCell ref="F6:I7"/>
    <mergeCell ref="F8:I9"/>
    <mergeCell ref="A1:D1"/>
    <mergeCell ref="F1:I1"/>
    <mergeCell ref="K1:N1"/>
    <mergeCell ref="P1:S1"/>
    <mergeCell ref="A2:D7"/>
    <mergeCell ref="K6:N7"/>
    <mergeCell ref="A22:D29"/>
    <mergeCell ref="F26:I27"/>
    <mergeCell ref="F28:I29"/>
    <mergeCell ref="F22:I23"/>
    <mergeCell ref="F24:I25"/>
    <mergeCell ref="A12:D19"/>
    <mergeCell ref="F12:G13"/>
    <mergeCell ref="H12:I13"/>
    <mergeCell ref="F16:I19"/>
    <mergeCell ref="A21:D21"/>
    <mergeCell ref="F21:I21"/>
    <mergeCell ref="F14:I15"/>
    <mergeCell ref="P26:S27"/>
    <mergeCell ref="P28:S29"/>
    <mergeCell ref="T22:T25"/>
    <mergeCell ref="K24:N25"/>
    <mergeCell ref="O22:O25"/>
    <mergeCell ref="K22:N23"/>
    <mergeCell ref="K26:N27"/>
    <mergeCell ref="K28:N29"/>
    <mergeCell ref="P22:Q22"/>
    <mergeCell ref="R22:S22"/>
    <mergeCell ref="P23:Q23"/>
    <mergeCell ref="P25:Q25"/>
    <mergeCell ref="R25:S25"/>
    <mergeCell ref="R24:S24"/>
    <mergeCell ref="K11:N11"/>
    <mergeCell ref="P11:S11"/>
    <mergeCell ref="P12:S15"/>
    <mergeCell ref="R23:S23"/>
    <mergeCell ref="P16:S17"/>
    <mergeCell ref="P18:S19"/>
    <mergeCell ref="K12:N19"/>
  </mergeCells>
  <pageMargins left="0.23622047244094491" right="0.23622047244094491" top="0.74803149606299213" bottom="0.74803149606299213" header="0.31496062992125984" footer="0.31496062992125984"/>
  <pageSetup paperSize="9" scale="52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ENCARTE RS - MAI.26</vt:lpstr>
      <vt:lpstr>ESBOÇO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Marques</dc:creator>
  <cp:lastModifiedBy>Rafaela Silva</cp:lastModifiedBy>
  <cp:lastPrinted>2026-04-15T16:54:20Z</cp:lastPrinted>
  <dcterms:created xsi:type="dcterms:W3CDTF">2025-01-13T16:49:40Z</dcterms:created>
  <dcterms:modified xsi:type="dcterms:W3CDTF">2026-04-30T17:41:42Z</dcterms:modified>
</cp:coreProperties>
</file>